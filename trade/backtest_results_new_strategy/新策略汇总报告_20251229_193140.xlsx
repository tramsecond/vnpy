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degit\trade\backtest_results_new_strategy\"/>
    </mc:Choice>
  </mc:AlternateContent>
  <xr:revisionPtr revIDLastSave="0" documentId="13_ncr:1_{16619DAF-0F7F-4375-A6A0-7E80F8629DE8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详细数据" sheetId="1" r:id="rId1"/>
    <sheet name="小时线统计" sheetId="2" r:id="rId2"/>
    <sheet name="日线统计" sheetId="3" r:id="rId3"/>
    <sheet name="周线统计" sheetId="4" r:id="rId4"/>
    <sheet name="月线统计" sheetId="5" r:id="rId5"/>
    <sheet name="整体统计" sheetId="6" r:id="rId6"/>
  </sheets>
  <calcPr calcId="191029"/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2" i="2"/>
</calcChain>
</file>

<file path=xl/sharedStrings.xml><?xml version="1.0" encoding="utf-8"?>
<sst xmlns="http://schemas.openxmlformats.org/spreadsheetml/2006/main" count="266" uniqueCount="52">
  <si>
    <t>初始资金</t>
  </si>
  <si>
    <t>最终资产净值</t>
  </si>
  <si>
    <t>资产净值最大值</t>
  </si>
  <si>
    <t>资产净值最小值</t>
  </si>
  <si>
    <t>胜率</t>
  </si>
  <si>
    <t>涨幅</t>
  </si>
  <si>
    <t>年化涨幅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</si>
  <si>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</si>
  <si>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</si>
  <si>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</si>
  <si>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</si>
  <si>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</si>
  <si>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</si>
  <si>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</si>
  <si>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</si>
  <si>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</si>
  <si>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小时线</t>
  </si>
  <si>
    <t>日线</t>
  </si>
  <si>
    <t>周线</t>
  </si>
  <si>
    <t>月线</t>
  </si>
  <si>
    <t>上证指数_sh000001_data</t>
  </si>
  <si>
    <t>创业板指_sz399006_data</t>
  </si>
  <si>
    <t>北证50_bj899050_data</t>
  </si>
  <si>
    <t>恒生指数_^HSI_data</t>
  </si>
  <si>
    <t>恒生科技_^HSTECH_data</t>
  </si>
  <si>
    <t>标普500_^GSPC_data</t>
  </si>
  <si>
    <t>深证成指_sz399001_data</t>
  </si>
  <si>
    <t>科创50_sh000688_data</t>
  </si>
  <si>
    <t>纳斯达克_^IXIC_data</t>
  </si>
  <si>
    <t>道琼斯_^DJI_data</t>
  </si>
  <si>
    <t>总股票数</t>
  </si>
  <si>
    <t>总交易次数</t>
  </si>
  <si>
    <t>总盈利交易次数</t>
  </si>
  <si>
    <t>平均胜率</t>
  </si>
  <si>
    <t>平均涨幅</t>
  </si>
  <si>
    <t>平均年化涨幅</t>
  </si>
  <si>
    <t>最大涨幅</t>
  </si>
  <si>
    <t>最小涨幅</t>
  </si>
  <si>
    <t>亏损股票数</t>
  </si>
  <si>
    <t>盈利股票平均涨幅</t>
  </si>
  <si>
    <t>亏损股票平均亏损比</t>
  </si>
  <si>
    <t>平均价格涨跌幅</t>
  </si>
  <si>
    <t>最大价格涨幅</t>
  </si>
  <si>
    <t>最大价格跌幅</t>
  </si>
  <si>
    <t>价格上涨股票数</t>
  </si>
  <si>
    <t>价格下跌股票数</t>
  </si>
  <si>
    <t>平均盈利与涨跌幅差值</t>
  </si>
  <si>
    <t>最大盈利与涨跌幅差值</t>
  </si>
  <si>
    <t>最小盈利与涨跌幅差值</t>
  </si>
  <si>
    <t>盈利超过涨跌幅股票数</t>
  </si>
  <si>
    <t>盈利低于涨跌幅股票数</t>
  </si>
  <si>
    <t>总体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</si>
</sst>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opLeftCell="C19" zoomScale="115" zoomScaleNormal="115" workbookViewId="0">
      <selection activeCell="F16" sqref="F16"/>
    </sheetView>
  </sheetViews>
  <sheetFormatPr defaultRowHeight="13.5" x14ac:dyDescent="0.15"/>
  <cols>
    <col min="2" max="17" width="12.75" style="1" customWidth="1"/>
  </cols>
  <sheetData>
    <row r="1" spans="1:16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15">
      <c r="A2">
        <v>100000</v>
      </c>
      <c r="B2" s="1">
        <v>95016.499676824998</v>
      </c>
      <c r="C2" s="1">
        <v>100000</v>
      </c>
      <c r="D2" s="1">
        <v>93160.15454357749</v>
      </c>
      <c r="E2" s="1">
        <v>0.25</v>
      </c>
      <c r="F2" s="1">
        <v>-4.9835003231750052E-2</v>
      </c>
      <c r="G2" s="1">
        <v>-0.33941996434594612</v>
      </c>
      <c r="H2" s="1">
        <v>4</v>
      </c>
      <c r="I2" s="1">
        <v>1</v>
      </c>
      <c r="J2" s="3">
        <v>45975</v>
      </c>
      <c r="K2" s="3">
        <v>46020</v>
      </c>
      <c r="L2" s="1">
        <v>4030.95</v>
      </c>
      <c r="M2" s="1">
        <v>3965.28</v>
      </c>
      <c r="N2" s="1">
        <v>-1.6291444944739979E-2</v>
      </c>
      <c r="O2" s="1" t="s">
        <v>16</v>
      </c>
      <c r="P2" s="1" t="s">
        <v>20</v>
      </c>
    </row>
    <row r="3" spans="1:16" x14ac:dyDescent="0.15">
      <c r="A3">
        <v>100000</v>
      </c>
      <c r="B3" s="1">
        <v>131970.4929285245</v>
      </c>
      <c r="C3" s="1">
        <v>131970.4929285245</v>
      </c>
      <c r="D3" s="1">
        <v>82587.856325151821</v>
      </c>
      <c r="E3" s="1">
        <v>0.6</v>
      </c>
      <c r="F3" s="1">
        <v>0.31970492928524469</v>
      </c>
      <c r="G3" s="1">
        <v>4.7364446327722957E-2</v>
      </c>
      <c r="H3" s="1">
        <v>20</v>
      </c>
      <c r="I3" s="1">
        <v>12</v>
      </c>
      <c r="J3" s="3">
        <v>43832</v>
      </c>
      <c r="K3" s="3">
        <v>46020</v>
      </c>
      <c r="L3" s="1">
        <v>3085.1979999999999</v>
      </c>
      <c r="M3" s="1">
        <v>3965.28</v>
      </c>
      <c r="N3" s="1">
        <v>0.28525948739756751</v>
      </c>
      <c r="O3" s="1" t="s">
        <v>17</v>
      </c>
      <c r="P3" s="1" t="s">
        <v>20</v>
      </c>
    </row>
    <row r="4" spans="1:16" x14ac:dyDescent="0.15">
      <c r="A4">
        <v>100000</v>
      </c>
      <c r="B4" s="1">
        <v>0</v>
      </c>
      <c r="C4" s="1">
        <v>104375.4281465806</v>
      </c>
      <c r="D4" s="1">
        <v>93028.319973553225</v>
      </c>
      <c r="E4" s="1">
        <v>0.33333333333333331</v>
      </c>
      <c r="F4" s="1">
        <v>-1</v>
      </c>
      <c r="G4" s="1">
        <v>-1</v>
      </c>
      <c r="H4" s="1">
        <v>3</v>
      </c>
      <c r="I4" s="1">
        <v>1</v>
      </c>
      <c r="J4" s="3">
        <v>43842</v>
      </c>
      <c r="K4" s="3">
        <v>46019</v>
      </c>
      <c r="L4" s="1">
        <v>3092.2910000000002</v>
      </c>
      <c r="M4" s="1">
        <v>3963.6790000000001</v>
      </c>
      <c r="N4" s="1">
        <v>0.28179366042846538</v>
      </c>
      <c r="O4" s="1" t="s">
        <v>18</v>
      </c>
      <c r="P4" s="1" t="s">
        <v>20</v>
      </c>
    </row>
    <row r="5" spans="1:16" x14ac:dyDescent="0.15">
      <c r="A5">
        <v>100000</v>
      </c>
      <c r="B5" s="1">
        <v>131315.34851349611</v>
      </c>
      <c r="C5" s="1">
        <v>131315.34851349611</v>
      </c>
      <c r="D5" s="1">
        <v>100000</v>
      </c>
      <c r="E5" s="1">
        <v>0.66666666666666663</v>
      </c>
      <c r="F5" s="1">
        <v>0.31315348513496127</v>
      </c>
      <c r="G5" s="1">
        <v>4.7089669975159509E-2</v>
      </c>
      <c r="H5" s="1">
        <v>3</v>
      </c>
      <c r="I5" s="1">
        <v>2</v>
      </c>
      <c r="J5" s="3">
        <v>43861</v>
      </c>
      <c r="K5" s="3">
        <v>46022</v>
      </c>
      <c r="L5" s="1">
        <v>2976.5279999999998</v>
      </c>
      <c r="M5" s="1">
        <v>3965.28</v>
      </c>
      <c r="N5" s="1">
        <v>0.33218299979035992</v>
      </c>
      <c r="O5" s="1" t="s">
        <v>19</v>
      </c>
      <c r="P5" s="1" t="s">
        <v>20</v>
      </c>
    </row>
    <row r="6" spans="1:16" x14ac:dyDescent="0.15">
      <c r="A6">
        <v>100000</v>
      </c>
      <c r="B6" s="1">
        <v>102419.49977765769</v>
      </c>
      <c r="C6" s="1">
        <v>105840.7691956214</v>
      </c>
      <c r="D6" s="1">
        <v>98933.087030594193</v>
      </c>
      <c r="E6" s="1">
        <v>1</v>
      </c>
      <c r="F6" s="1">
        <v>2.4194997776577409E-2</v>
      </c>
      <c r="G6" s="1">
        <v>0.213989221696117</v>
      </c>
      <c r="H6" s="1">
        <v>2</v>
      </c>
      <c r="I6" s="1">
        <v>2</v>
      </c>
      <c r="J6" s="3">
        <v>45975</v>
      </c>
      <c r="K6" s="3">
        <v>46020</v>
      </c>
      <c r="L6" s="1">
        <v>3161.96</v>
      </c>
      <c r="M6" s="1">
        <v>3222.61</v>
      </c>
      <c r="N6" s="1">
        <v>1.9181140811395488E-2</v>
      </c>
      <c r="O6" s="1" t="s">
        <v>16</v>
      </c>
      <c r="P6" s="1" t="s">
        <v>21</v>
      </c>
    </row>
    <row r="7" spans="1:16" x14ac:dyDescent="0.15">
      <c r="A7">
        <v>100000</v>
      </c>
      <c r="B7" s="1">
        <v>111360.9998000651</v>
      </c>
      <c r="C7" s="1">
        <v>121851.362667717</v>
      </c>
      <c r="D7" s="1">
        <v>90724.385954542158</v>
      </c>
      <c r="E7" s="1">
        <v>0.45454545454545447</v>
      </c>
      <c r="F7" s="1">
        <v>0.1136099980006509</v>
      </c>
      <c r="G7" s="1">
        <v>1.81129772792985E-2</v>
      </c>
      <c r="H7" s="1">
        <v>22</v>
      </c>
      <c r="I7" s="1">
        <v>10</v>
      </c>
      <c r="J7" s="3">
        <v>43832</v>
      </c>
      <c r="K7" s="3">
        <v>46020</v>
      </c>
      <c r="L7" s="1">
        <v>1832.742</v>
      </c>
      <c r="M7" s="1">
        <v>3222.6109999999999</v>
      </c>
      <c r="N7" s="1">
        <v>0.75835496758408982</v>
      </c>
      <c r="O7" s="1" t="s">
        <v>17</v>
      </c>
      <c r="P7" s="1" t="s">
        <v>21</v>
      </c>
    </row>
    <row r="8" spans="1:16" x14ac:dyDescent="0.15">
      <c r="A8">
        <v>100000</v>
      </c>
      <c r="B8" s="1">
        <v>0</v>
      </c>
      <c r="C8" s="1">
        <v>116859.4609318048</v>
      </c>
      <c r="D8" s="1">
        <v>100000</v>
      </c>
      <c r="E8" s="1">
        <v>0.5</v>
      </c>
      <c r="F8" s="1">
        <v>-1</v>
      </c>
      <c r="G8" s="1">
        <v>-1</v>
      </c>
      <c r="H8" s="1">
        <v>2</v>
      </c>
      <c r="I8" s="1">
        <v>1</v>
      </c>
      <c r="J8" s="3">
        <v>43842</v>
      </c>
      <c r="K8" s="3">
        <v>46019</v>
      </c>
      <c r="L8" s="1">
        <v>1904.194</v>
      </c>
      <c r="M8" s="1">
        <v>3243.8760000000002</v>
      </c>
      <c r="N8" s="1">
        <v>0.70354281128918605</v>
      </c>
      <c r="O8" s="1" t="s">
        <v>18</v>
      </c>
      <c r="P8" s="1" t="s">
        <v>21</v>
      </c>
    </row>
    <row r="9" spans="1:16" x14ac:dyDescent="0.15">
      <c r="A9">
        <v>100000</v>
      </c>
      <c r="B9" s="1">
        <v>89462.475077060226</v>
      </c>
      <c r="C9" s="1">
        <v>117092.9320289131</v>
      </c>
      <c r="D9" s="1">
        <v>89462.475077060226</v>
      </c>
      <c r="E9" s="1">
        <v>0.33333333333333331</v>
      </c>
      <c r="F9" s="1">
        <v>-0.1053752492293978</v>
      </c>
      <c r="G9" s="1">
        <v>-1.8631778357601769E-2</v>
      </c>
      <c r="H9" s="1">
        <v>3</v>
      </c>
      <c r="I9" s="1">
        <v>1</v>
      </c>
      <c r="J9" s="3">
        <v>43861</v>
      </c>
      <c r="K9" s="3">
        <v>46022</v>
      </c>
      <c r="L9" s="1">
        <v>1927.742</v>
      </c>
      <c r="M9" s="1">
        <v>3222.6109999999999</v>
      </c>
      <c r="N9" s="1">
        <v>0.6717024373593562</v>
      </c>
      <c r="O9" s="1" t="s">
        <v>19</v>
      </c>
      <c r="P9" s="1" t="s">
        <v>21</v>
      </c>
    </row>
    <row r="10" spans="1:16" x14ac:dyDescent="0.15">
      <c r="A10">
        <v>100000</v>
      </c>
      <c r="B10" s="1">
        <v>103866.5482882896</v>
      </c>
      <c r="C10" s="1">
        <v>104864.9565247797</v>
      </c>
      <c r="D10" s="1">
        <v>98851.686346147704</v>
      </c>
      <c r="E10" s="1">
        <v>0.5</v>
      </c>
      <c r="F10" s="1">
        <v>3.8665482882895619E-2</v>
      </c>
      <c r="G10" s="1">
        <v>0.36030479124284098</v>
      </c>
      <c r="H10" s="1">
        <v>2</v>
      </c>
      <c r="I10" s="1">
        <v>1</v>
      </c>
      <c r="J10" s="3">
        <v>45975</v>
      </c>
      <c r="K10" s="3">
        <v>46020</v>
      </c>
      <c r="L10" s="1">
        <v>1534.2</v>
      </c>
      <c r="M10" s="1">
        <v>1456.45</v>
      </c>
      <c r="N10" s="1">
        <v>-5.0677877721287963E-2</v>
      </c>
      <c r="O10" s="1" t="s">
        <v>16</v>
      </c>
      <c r="P10" s="1" t="s">
        <v>22</v>
      </c>
    </row>
    <row r="11" spans="1:16" x14ac:dyDescent="0.15">
      <c r="A11">
        <v>100000</v>
      </c>
      <c r="B11" s="1">
        <v>134432.97895292789</v>
      </c>
      <c r="C11" s="1">
        <v>143586.2370939145</v>
      </c>
      <c r="D11" s="1">
        <v>91083.977406237609</v>
      </c>
      <c r="E11" s="1">
        <v>0.35714285714285721</v>
      </c>
      <c r="F11" s="1">
        <v>0.34432978952927917</v>
      </c>
      <c r="G11" s="1">
        <v>8.4328539263030189E-2</v>
      </c>
      <c r="H11" s="1">
        <v>14</v>
      </c>
      <c r="I11" s="1">
        <v>5</v>
      </c>
      <c r="J11" s="3">
        <v>44686</v>
      </c>
      <c r="K11" s="3">
        <v>46020</v>
      </c>
      <c r="L11" s="1">
        <v>1031.3150000000001</v>
      </c>
      <c r="M11" s="1">
        <v>1456.4490000000001</v>
      </c>
      <c r="N11" s="1">
        <v>0.41222516883784288</v>
      </c>
      <c r="O11" s="1" t="s">
        <v>17</v>
      </c>
      <c r="P11" s="1" t="s">
        <v>22</v>
      </c>
    </row>
    <row r="12" spans="1:16" x14ac:dyDescent="0.15">
      <c r="A12">
        <v>100000</v>
      </c>
      <c r="B12" s="1">
        <v>0</v>
      </c>
      <c r="C12" s="1">
        <v>100000</v>
      </c>
      <c r="D12" s="1">
        <v>86654.866435945849</v>
      </c>
      <c r="E12" s="1">
        <v>0</v>
      </c>
      <c r="F12" s="1">
        <v>-1</v>
      </c>
      <c r="G12" s="1">
        <v>-1</v>
      </c>
      <c r="H12" s="1">
        <v>2</v>
      </c>
      <c r="I12" s="1">
        <v>0</v>
      </c>
      <c r="J12" s="3">
        <v>44696</v>
      </c>
      <c r="K12" s="3">
        <v>46019</v>
      </c>
      <c r="L12" s="1">
        <v>1115.096</v>
      </c>
      <c r="M12" s="1">
        <v>1463.0350000000001</v>
      </c>
      <c r="N12" s="1">
        <v>0.31202604977508669</v>
      </c>
      <c r="O12" s="1" t="s">
        <v>18</v>
      </c>
      <c r="P12" s="1" t="s">
        <v>22</v>
      </c>
    </row>
    <row r="13" spans="1:16" x14ac:dyDescent="0.15">
      <c r="A13">
        <v>100000</v>
      </c>
      <c r="B13" s="1">
        <v>61353.05479111836</v>
      </c>
      <c r="C13" s="1">
        <v>106631.2117646199</v>
      </c>
      <c r="D13" s="1">
        <v>61353.05479111836</v>
      </c>
      <c r="E13" s="1">
        <v>0</v>
      </c>
      <c r="F13" s="1">
        <v>-0.38646945208881639</v>
      </c>
      <c r="G13" s="1">
        <v>-0.12725844248356871</v>
      </c>
      <c r="H13" s="1">
        <v>3</v>
      </c>
      <c r="I13" s="1">
        <v>0</v>
      </c>
      <c r="J13" s="3">
        <v>44712</v>
      </c>
      <c r="K13" s="3">
        <v>46022</v>
      </c>
      <c r="L13" s="1">
        <v>1094.2909999999999</v>
      </c>
      <c r="M13" s="1">
        <v>1456.4490000000001</v>
      </c>
      <c r="N13" s="1">
        <v>0.3309521873066672</v>
      </c>
      <c r="O13" s="1" t="s">
        <v>19</v>
      </c>
      <c r="P13" s="1" t="s">
        <v>22</v>
      </c>
    </row>
    <row r="14" spans="1:16" x14ac:dyDescent="0.15">
      <c r="A14">
        <v>100000</v>
      </c>
      <c r="B14" s="1">
        <v>158949.1607159299</v>
      </c>
      <c r="C14" s="1">
        <v>159417.9919228509</v>
      </c>
      <c r="D14" s="1">
        <v>95050.816901234371</v>
      </c>
      <c r="E14" s="1">
        <v>0.59523809523809523</v>
      </c>
      <c r="F14" s="1">
        <v>0.58949160715929882</v>
      </c>
      <c r="G14" s="1">
        <v>0.36784113974128019</v>
      </c>
      <c r="H14" s="1">
        <v>42</v>
      </c>
      <c r="I14" s="1">
        <v>25</v>
      </c>
      <c r="J14" s="3">
        <v>45475</v>
      </c>
      <c r="K14" s="3">
        <v>46015</v>
      </c>
      <c r="L14" s="1">
        <v>17929.16015625</v>
      </c>
      <c r="M14" s="1">
        <v>25814.169921875</v>
      </c>
      <c r="N14" s="1">
        <v>0.43978690005043719</v>
      </c>
      <c r="O14" s="1" t="s">
        <v>16</v>
      </c>
      <c r="P14" s="1" t="s">
        <v>23</v>
      </c>
    </row>
    <row r="15" spans="1:16" x14ac:dyDescent="0.15">
      <c r="A15">
        <v>100000</v>
      </c>
      <c r="B15" s="1">
        <v>83017.867288044348</v>
      </c>
      <c r="C15" s="1">
        <v>100000</v>
      </c>
      <c r="D15" s="1">
        <v>66560.621838071806</v>
      </c>
      <c r="E15" s="1">
        <v>0.32</v>
      </c>
      <c r="F15" s="1">
        <v>-0.16982132711955661</v>
      </c>
      <c r="G15" s="1">
        <v>-3.063932339120334E-2</v>
      </c>
      <c r="H15" s="1">
        <v>25</v>
      </c>
      <c r="I15" s="1">
        <v>8</v>
      </c>
      <c r="J15" s="3">
        <v>43832</v>
      </c>
      <c r="K15" s="3">
        <v>46015</v>
      </c>
      <c r="L15" s="1">
        <v>28543.52</v>
      </c>
      <c r="M15" s="1">
        <v>25818.93</v>
      </c>
      <c r="N15" s="1">
        <v>-9.5453889359125993E-2</v>
      </c>
      <c r="O15" s="1" t="s">
        <v>17</v>
      </c>
      <c r="P15" s="1" t="s">
        <v>23</v>
      </c>
    </row>
    <row r="16" spans="1:16" x14ac:dyDescent="0.15">
      <c r="A16">
        <v>100000</v>
      </c>
      <c r="B16" s="1">
        <v>117686.2614636794</v>
      </c>
      <c r="C16" s="1">
        <v>132118.12028539699</v>
      </c>
      <c r="D16" s="1">
        <v>98975.130673389809</v>
      </c>
      <c r="E16" s="1">
        <v>0.66666666666666663</v>
      </c>
      <c r="F16" s="1">
        <v>0.17686261463679401</v>
      </c>
      <c r="G16" s="1">
        <v>2.7680267863356312E-2</v>
      </c>
      <c r="H16" s="1">
        <v>3</v>
      </c>
      <c r="I16" s="1">
        <v>2</v>
      </c>
      <c r="J16" s="3">
        <v>43842</v>
      </c>
      <c r="K16" s="3">
        <v>46019</v>
      </c>
      <c r="L16" s="1">
        <v>28638.199000000001</v>
      </c>
      <c r="M16" s="1">
        <v>25818.93</v>
      </c>
      <c r="N16" s="1">
        <v>-9.8444353990277123E-2</v>
      </c>
      <c r="O16" s="1" t="s">
        <v>18</v>
      </c>
      <c r="P16" s="1" t="s">
        <v>23</v>
      </c>
    </row>
    <row r="17" spans="1:16" x14ac:dyDescent="0.15">
      <c r="A17">
        <v>100000</v>
      </c>
      <c r="B17" s="1">
        <v>104618.73485131429</v>
      </c>
      <c r="C17" s="1">
        <v>104618.73485131429</v>
      </c>
      <c r="D17" s="1">
        <v>86168.554147672388</v>
      </c>
      <c r="E17" s="1">
        <v>0.5</v>
      </c>
      <c r="F17" s="1">
        <v>4.6187348513143427E-2</v>
      </c>
      <c r="G17" s="1">
        <v>7.6555537353826253E-3</v>
      </c>
      <c r="H17" s="1">
        <v>2</v>
      </c>
      <c r="I17" s="1">
        <v>1</v>
      </c>
      <c r="J17" s="3">
        <v>43861</v>
      </c>
      <c r="K17" s="3">
        <v>46022</v>
      </c>
      <c r="L17" s="1">
        <v>26312.631000000001</v>
      </c>
      <c r="M17" s="1">
        <v>25818.93</v>
      </c>
      <c r="N17" s="1">
        <v>-1.8762889959578762E-2</v>
      </c>
      <c r="O17" s="1" t="s">
        <v>19</v>
      </c>
      <c r="P17" s="1" t="s">
        <v>23</v>
      </c>
    </row>
    <row r="18" spans="1:16" x14ac:dyDescent="0.15">
      <c r="A18">
        <v>100000</v>
      </c>
      <c r="B18" s="1">
        <v>133395.82768203691</v>
      </c>
      <c r="C18" s="1">
        <v>141537.1406169087</v>
      </c>
      <c r="D18" s="1">
        <v>86930.218201077747</v>
      </c>
      <c r="E18" s="1">
        <v>0.41304347826086962</v>
      </c>
      <c r="F18" s="1">
        <v>0.33395827682036899</v>
      </c>
      <c r="G18" s="1">
        <v>0.21502968500907091</v>
      </c>
      <c r="H18" s="1">
        <v>46</v>
      </c>
      <c r="I18" s="1">
        <v>19</v>
      </c>
      <c r="J18" s="3">
        <v>45475</v>
      </c>
      <c r="K18" s="3">
        <v>46015</v>
      </c>
      <c r="L18" s="1">
        <v>3582.75</v>
      </c>
      <c r="M18" s="1">
        <v>5502.2099609375</v>
      </c>
      <c r="N18" s="1">
        <v>0.53575046010397043</v>
      </c>
      <c r="O18" s="1" t="s">
        <v>16</v>
      </c>
      <c r="P18" s="1" t="s">
        <v>24</v>
      </c>
    </row>
    <row r="19" spans="1:16" x14ac:dyDescent="0.15">
      <c r="A19">
        <v>100000</v>
      </c>
      <c r="B19" s="1">
        <v>94131.876993213955</v>
      </c>
      <c r="C19" s="1">
        <v>126100.9730148056</v>
      </c>
      <c r="D19" s="1">
        <v>63253.976999628358</v>
      </c>
      <c r="E19" s="1">
        <v>0.29166666666666669</v>
      </c>
      <c r="F19" s="1">
        <v>-5.8681230067860413E-2</v>
      </c>
      <c r="G19" s="1">
        <v>-1.1226939888681949E-2</v>
      </c>
      <c r="H19" s="1">
        <v>24</v>
      </c>
      <c r="I19" s="1">
        <v>7</v>
      </c>
      <c r="J19" s="3">
        <v>44060</v>
      </c>
      <c r="K19" s="3">
        <v>46015</v>
      </c>
      <c r="L19" s="1">
        <v>7075.03</v>
      </c>
      <c r="M19" s="1">
        <v>5499.3</v>
      </c>
      <c r="N19" s="1">
        <v>-0.22271707681804881</v>
      </c>
      <c r="O19" s="1" t="s">
        <v>17</v>
      </c>
      <c r="P19" s="1" t="s">
        <v>24</v>
      </c>
    </row>
    <row r="20" spans="1:16" x14ac:dyDescent="0.15">
      <c r="A20">
        <v>100000</v>
      </c>
      <c r="B20" s="1">
        <v>114604.0939064203</v>
      </c>
      <c r="C20" s="1">
        <v>127702.6006997489</v>
      </c>
      <c r="D20" s="1">
        <v>95462.911860477951</v>
      </c>
      <c r="E20" s="1">
        <v>0.66666666666666663</v>
      </c>
      <c r="F20" s="1">
        <v>0.14604093906420351</v>
      </c>
      <c r="G20" s="1">
        <v>2.580315092039109E-2</v>
      </c>
      <c r="H20" s="1">
        <v>3</v>
      </c>
      <c r="I20" s="1">
        <v>2</v>
      </c>
      <c r="J20" s="3">
        <v>44066</v>
      </c>
      <c r="K20" s="3">
        <v>46019</v>
      </c>
      <c r="L20" s="1">
        <v>7168.87</v>
      </c>
      <c r="M20" s="1">
        <v>5499.3</v>
      </c>
      <c r="N20" s="1">
        <v>-0.23289165517020111</v>
      </c>
      <c r="O20" s="1" t="s">
        <v>18</v>
      </c>
      <c r="P20" s="1" t="s">
        <v>24</v>
      </c>
    </row>
    <row r="21" spans="1:16" x14ac:dyDescent="0.15">
      <c r="A21">
        <v>100000</v>
      </c>
      <c r="B21" s="1">
        <v>84723.015396700212</v>
      </c>
      <c r="C21" s="1">
        <v>100000</v>
      </c>
      <c r="D21" s="1">
        <v>84723.015396700212</v>
      </c>
      <c r="E21" s="1">
        <v>0</v>
      </c>
      <c r="F21" s="1">
        <v>-0.1527698460329979</v>
      </c>
      <c r="G21" s="1">
        <v>-3.0585517827101168E-2</v>
      </c>
      <c r="H21" s="1">
        <v>2</v>
      </c>
      <c r="I21" s="1">
        <v>0</v>
      </c>
      <c r="J21" s="3">
        <v>44074</v>
      </c>
      <c r="K21" s="3">
        <v>46022</v>
      </c>
      <c r="L21" s="1">
        <v>7543.86</v>
      </c>
      <c r="M21" s="1">
        <v>5499.3</v>
      </c>
      <c r="N21" s="1">
        <v>-0.27102305716171821</v>
      </c>
      <c r="O21" s="1" t="s">
        <v>19</v>
      </c>
      <c r="P21" s="1" t="s">
        <v>24</v>
      </c>
    </row>
    <row r="22" spans="1:16" x14ac:dyDescent="0.15">
      <c r="A22">
        <v>100000</v>
      </c>
      <c r="B22" s="1">
        <v>128267.7192149389</v>
      </c>
      <c r="C22" s="1">
        <v>128365.4356919173</v>
      </c>
      <c r="D22" s="1">
        <v>98070.275259534188</v>
      </c>
      <c r="E22" s="1">
        <v>0.53846153846153844</v>
      </c>
      <c r="F22" s="1">
        <v>0.28267719214938869</v>
      </c>
      <c r="G22" s="1">
        <v>0.1821581531591909</v>
      </c>
      <c r="H22" s="1">
        <v>39</v>
      </c>
      <c r="I22" s="1">
        <v>21</v>
      </c>
      <c r="J22" s="3">
        <v>45474</v>
      </c>
      <c r="K22" s="3">
        <v>46017</v>
      </c>
      <c r="L22" s="1">
        <v>5463</v>
      </c>
      <c r="M22" s="1">
        <v>6930.52001953125</v>
      </c>
      <c r="N22" s="1">
        <v>0.26862896202292702</v>
      </c>
      <c r="O22" s="1" t="s">
        <v>16</v>
      </c>
      <c r="P22" s="1" t="s">
        <v>25</v>
      </c>
    </row>
    <row r="23" spans="1:16" x14ac:dyDescent="0.15">
      <c r="A23">
        <v>100000</v>
      </c>
      <c r="B23" s="1">
        <v>136253.1712907865</v>
      </c>
      <c r="C23" s="1">
        <v>144655.4052477142</v>
      </c>
      <c r="D23" s="1">
        <v>92826.968183534991</v>
      </c>
      <c r="E23" s="1">
        <v>0.45161290322580638</v>
      </c>
      <c r="F23" s="1">
        <v>0.36253171290786529</v>
      </c>
      <c r="G23" s="1">
        <v>5.30338731162876E-2</v>
      </c>
      <c r="H23" s="1">
        <v>31</v>
      </c>
      <c r="I23" s="1">
        <v>14</v>
      </c>
      <c r="J23" s="3">
        <v>43832</v>
      </c>
      <c r="K23" s="3">
        <v>46017</v>
      </c>
      <c r="L23" s="1">
        <v>3257.8501000000001</v>
      </c>
      <c r="M23" s="1">
        <v>6929.9399000000003</v>
      </c>
      <c r="N23" s="1">
        <v>1.127151246154634</v>
      </c>
      <c r="O23" s="1" t="s">
        <v>17</v>
      </c>
      <c r="P23" s="1" t="s">
        <v>25</v>
      </c>
    </row>
    <row r="24" spans="1:16" x14ac:dyDescent="0.15">
      <c r="A24">
        <v>100000</v>
      </c>
      <c r="B24" s="1">
        <v>120713.048930191</v>
      </c>
      <c r="C24" s="1">
        <v>120713.048930191</v>
      </c>
      <c r="D24" s="1">
        <v>90069.345130408197</v>
      </c>
      <c r="E24" s="1">
        <v>0.6</v>
      </c>
      <c r="F24" s="1">
        <v>0.2071304893019095</v>
      </c>
      <c r="G24" s="1">
        <v>3.2065045478997238E-2</v>
      </c>
      <c r="H24" s="1">
        <v>5</v>
      </c>
      <c r="I24" s="1">
        <v>3</v>
      </c>
      <c r="J24" s="3">
        <v>43842</v>
      </c>
      <c r="K24" s="3">
        <v>46019</v>
      </c>
      <c r="L24" s="1">
        <v>3265.3501000000001</v>
      </c>
      <c r="M24" s="1">
        <v>6929.9399000000003</v>
      </c>
      <c r="N24" s="1">
        <v>1.1222655114378091</v>
      </c>
      <c r="O24" s="1" t="s">
        <v>18</v>
      </c>
      <c r="P24" s="1" t="s">
        <v>25</v>
      </c>
    </row>
    <row r="25" spans="1:16" x14ac:dyDescent="0.15">
      <c r="A25">
        <v>100000</v>
      </c>
      <c r="B25" s="1">
        <v>112341.4325962978</v>
      </c>
      <c r="C25" s="1">
        <v>112341.4325962978</v>
      </c>
      <c r="D25" s="1">
        <v>90080.321391678561</v>
      </c>
      <c r="E25" s="1">
        <v>0.66666666666666663</v>
      </c>
      <c r="F25" s="1">
        <v>0.1234143259629783</v>
      </c>
      <c r="G25" s="1">
        <v>1.9850151904717391E-2</v>
      </c>
      <c r="H25" s="1">
        <v>3</v>
      </c>
      <c r="I25" s="1">
        <v>2</v>
      </c>
      <c r="J25" s="3">
        <v>43861</v>
      </c>
      <c r="K25" s="3">
        <v>46022</v>
      </c>
      <c r="L25" s="1">
        <v>3225.52</v>
      </c>
      <c r="M25" s="1">
        <v>6929.9399000000003</v>
      </c>
      <c r="N25" s="1">
        <v>1.148472153327216</v>
      </c>
      <c r="O25" s="1" t="s">
        <v>19</v>
      </c>
      <c r="P25" s="1" t="s">
        <v>25</v>
      </c>
    </row>
    <row r="26" spans="1:16" x14ac:dyDescent="0.15">
      <c r="A26">
        <v>100000</v>
      </c>
      <c r="B26" s="1">
        <v>104977.0283406572</v>
      </c>
      <c r="C26" s="1">
        <v>105615.6332326838</v>
      </c>
      <c r="D26" s="1">
        <v>99155.859158400606</v>
      </c>
      <c r="E26" s="1">
        <v>1</v>
      </c>
      <c r="F26" s="1">
        <v>4.977028340657208E-2</v>
      </c>
      <c r="G26" s="1">
        <v>0.48285267884787691</v>
      </c>
      <c r="H26" s="1">
        <v>2</v>
      </c>
      <c r="I26" s="1">
        <v>2</v>
      </c>
      <c r="J26" s="3">
        <v>45975</v>
      </c>
      <c r="K26" s="3">
        <v>46020</v>
      </c>
      <c r="L26" s="1">
        <v>13382.75</v>
      </c>
      <c r="M26" s="1">
        <v>13537.1</v>
      </c>
      <c r="N26" s="1">
        <v>1.15335039509817E-2</v>
      </c>
      <c r="O26" s="1" t="s">
        <v>16</v>
      </c>
      <c r="P26" s="1" t="s">
        <v>26</v>
      </c>
    </row>
    <row r="27" spans="1:16" x14ac:dyDescent="0.15">
      <c r="A27">
        <v>100000</v>
      </c>
      <c r="B27" s="1">
        <v>147089.7844494353</v>
      </c>
      <c r="C27" s="1">
        <v>147815.57937665409</v>
      </c>
      <c r="D27" s="1">
        <v>97222.907189940175</v>
      </c>
      <c r="E27" s="1">
        <v>0.52631578947368418</v>
      </c>
      <c r="F27" s="1">
        <v>0.47089784449435318</v>
      </c>
      <c r="G27" s="1">
        <v>6.6487940953081859E-2</v>
      </c>
      <c r="H27" s="1">
        <v>19</v>
      </c>
      <c r="I27" s="1">
        <v>10</v>
      </c>
      <c r="J27" s="3">
        <v>43832</v>
      </c>
      <c r="K27" s="3">
        <v>46020</v>
      </c>
      <c r="L27" s="1">
        <v>10638.824000000001</v>
      </c>
      <c r="M27" s="1">
        <v>13537.097</v>
      </c>
      <c r="N27" s="1">
        <v>0.27242418898930931</v>
      </c>
      <c r="O27" s="1" t="s">
        <v>17</v>
      </c>
      <c r="P27" s="1" t="s">
        <v>26</v>
      </c>
    </row>
    <row r="28" spans="1:16" x14ac:dyDescent="0.15">
      <c r="A28">
        <v>100000</v>
      </c>
      <c r="B28" s="1">
        <v>0</v>
      </c>
      <c r="C28" s="1">
        <v>106753.2893121394</v>
      </c>
      <c r="D28" s="1">
        <v>82749.25258227592</v>
      </c>
      <c r="E28" s="1">
        <v>0</v>
      </c>
      <c r="F28" s="1">
        <v>-1</v>
      </c>
      <c r="G28" s="1">
        <v>-1</v>
      </c>
      <c r="H28" s="1">
        <v>3</v>
      </c>
      <c r="I28" s="1">
        <v>0</v>
      </c>
      <c r="J28" s="3">
        <v>43842</v>
      </c>
      <c r="K28" s="3">
        <v>46019</v>
      </c>
      <c r="L28" s="1">
        <v>10879.843000000001</v>
      </c>
      <c r="M28" s="1">
        <v>13603.894</v>
      </c>
      <c r="N28" s="1">
        <v>0.25037594752056619</v>
      </c>
      <c r="O28" s="1" t="s">
        <v>18</v>
      </c>
      <c r="P28" s="1" t="s">
        <v>26</v>
      </c>
    </row>
    <row r="29" spans="1:16" x14ac:dyDescent="0.15">
      <c r="A29">
        <v>100000</v>
      </c>
      <c r="B29" s="1">
        <v>122362.3868237487</v>
      </c>
      <c r="C29" s="1">
        <v>122362.3868237487</v>
      </c>
      <c r="D29" s="1">
        <v>100000</v>
      </c>
      <c r="E29" s="1">
        <v>0.66666666666666663</v>
      </c>
      <c r="F29" s="1">
        <v>0.22362386823748739</v>
      </c>
      <c r="G29" s="1">
        <v>3.4675165081470498E-2</v>
      </c>
      <c r="H29" s="1">
        <v>3</v>
      </c>
      <c r="I29" s="1">
        <v>2</v>
      </c>
      <c r="J29" s="3">
        <v>43861</v>
      </c>
      <c r="K29" s="3">
        <v>46022</v>
      </c>
      <c r="L29" s="1">
        <v>10681.904</v>
      </c>
      <c r="M29" s="1">
        <v>13537.097</v>
      </c>
      <c r="N29" s="1">
        <v>0.26729251639033641</v>
      </c>
      <c r="O29" s="1" t="s">
        <v>19</v>
      </c>
      <c r="P29" s="1" t="s">
        <v>26</v>
      </c>
    </row>
    <row r="30" spans="1:16" x14ac:dyDescent="0.15">
      <c r="A30">
        <v>100000</v>
      </c>
      <c r="B30" s="1">
        <v>98286.116282448798</v>
      </c>
      <c r="C30" s="1">
        <v>101131.09655811729</v>
      </c>
      <c r="D30" s="1">
        <v>97772.171411520321</v>
      </c>
      <c r="E30" s="1">
        <v>0.5</v>
      </c>
      <c r="F30" s="1">
        <v>-1.7138837175512012E-2</v>
      </c>
      <c r="G30" s="1">
        <v>-0.130833071289606</v>
      </c>
      <c r="H30" s="1">
        <v>2</v>
      </c>
      <c r="I30" s="1">
        <v>1</v>
      </c>
      <c r="J30" s="3">
        <v>45975</v>
      </c>
      <c r="K30" s="3">
        <v>46020</v>
      </c>
      <c r="L30" s="1">
        <v>1388.19</v>
      </c>
      <c r="M30" s="1">
        <v>1346.32</v>
      </c>
      <c r="N30" s="1">
        <v>-3.0161577305700311E-2</v>
      </c>
      <c r="O30" s="1" t="s">
        <v>16</v>
      </c>
      <c r="P30" s="1" t="s">
        <v>27</v>
      </c>
    </row>
    <row r="31" spans="1:16" x14ac:dyDescent="0.15">
      <c r="A31">
        <v>100000</v>
      </c>
      <c r="B31" s="1">
        <v>162127.3472172757</v>
      </c>
      <c r="C31" s="1">
        <v>162127.3472172757</v>
      </c>
      <c r="D31" s="1">
        <v>99160.035109079836</v>
      </c>
      <c r="E31" s="1">
        <v>0.42857142857142849</v>
      </c>
      <c r="F31" s="1">
        <v>0.6212734721727573</v>
      </c>
      <c r="G31" s="1">
        <v>8.3946923072094393E-2</v>
      </c>
      <c r="H31" s="1">
        <v>28</v>
      </c>
      <c r="I31" s="1">
        <v>12</v>
      </c>
      <c r="J31" s="3">
        <v>43832</v>
      </c>
      <c r="K31" s="3">
        <v>46020</v>
      </c>
      <c r="L31" s="1">
        <v>1019.723</v>
      </c>
      <c r="M31" s="1">
        <v>1346.319</v>
      </c>
      <c r="N31" s="1">
        <v>0.32027913462773722</v>
      </c>
      <c r="O31" s="1" t="s">
        <v>17</v>
      </c>
      <c r="P31" s="1" t="s">
        <v>27</v>
      </c>
    </row>
    <row r="32" spans="1:16" x14ac:dyDescent="0.15">
      <c r="A32">
        <v>100000</v>
      </c>
      <c r="B32" s="1">
        <v>0</v>
      </c>
      <c r="C32" s="1">
        <v>118225.6134434218</v>
      </c>
      <c r="D32" s="1">
        <v>82398.333128959988</v>
      </c>
      <c r="E32" s="1">
        <v>0.2</v>
      </c>
      <c r="F32" s="1">
        <v>-1</v>
      </c>
      <c r="G32" s="1">
        <v>-1</v>
      </c>
      <c r="H32" s="1">
        <v>5</v>
      </c>
      <c r="I32" s="1">
        <v>1</v>
      </c>
      <c r="J32" s="3">
        <v>43842</v>
      </c>
      <c r="K32" s="3">
        <v>46019</v>
      </c>
      <c r="L32" s="1">
        <v>1076.4380000000001</v>
      </c>
      <c r="M32" s="1">
        <v>1345.827</v>
      </c>
      <c r="N32" s="1">
        <v>0.25025965266926647</v>
      </c>
      <c r="O32" s="1" t="s">
        <v>18</v>
      </c>
      <c r="P32" s="1" t="s">
        <v>27</v>
      </c>
    </row>
    <row r="33" spans="1:16" x14ac:dyDescent="0.15">
      <c r="A33">
        <v>100000</v>
      </c>
      <c r="B33" s="1">
        <v>131413.43411272531</v>
      </c>
      <c r="C33" s="1">
        <v>131413.43411272531</v>
      </c>
      <c r="D33" s="1">
        <v>100000</v>
      </c>
      <c r="E33" s="1">
        <v>1</v>
      </c>
      <c r="F33" s="1">
        <v>0.31413434112725352</v>
      </c>
      <c r="G33" s="1">
        <v>4.7221731701571963E-2</v>
      </c>
      <c r="H33" s="1">
        <v>2</v>
      </c>
      <c r="I33" s="1">
        <v>2</v>
      </c>
      <c r="J33" s="3">
        <v>43861</v>
      </c>
      <c r="K33" s="3">
        <v>46022</v>
      </c>
      <c r="L33" s="1">
        <v>1202.1020000000001</v>
      </c>
      <c r="M33" s="1">
        <v>1346.319</v>
      </c>
      <c r="N33" s="1">
        <v>0.1199706846839951</v>
      </c>
      <c r="O33" s="1" t="s">
        <v>19</v>
      </c>
      <c r="P33" s="1" t="s">
        <v>27</v>
      </c>
    </row>
    <row r="34" spans="1:16" x14ac:dyDescent="0.15">
      <c r="A34">
        <v>100000</v>
      </c>
      <c r="B34" s="1">
        <v>122261.5485525117</v>
      </c>
      <c r="C34" s="1">
        <v>122430.1002072968</v>
      </c>
      <c r="D34" s="1">
        <v>94611.991298414097</v>
      </c>
      <c r="E34" s="1">
        <v>0.53658536585365857</v>
      </c>
      <c r="F34" s="1">
        <v>0.22261548552511681</v>
      </c>
      <c r="G34" s="1">
        <v>0.14465741534980661</v>
      </c>
      <c r="H34" s="1">
        <v>41</v>
      </c>
      <c r="I34" s="1">
        <v>22</v>
      </c>
      <c r="J34" s="3">
        <v>45474</v>
      </c>
      <c r="K34" s="3">
        <v>46017</v>
      </c>
      <c r="L34" s="1">
        <v>17769.29296875</v>
      </c>
      <c r="M34" s="1">
        <v>23592.794921875</v>
      </c>
      <c r="N34" s="1">
        <v>0.32772839996315623</v>
      </c>
      <c r="O34" s="1" t="s">
        <v>16</v>
      </c>
      <c r="P34" s="1" t="s">
        <v>28</v>
      </c>
    </row>
    <row r="35" spans="1:16" x14ac:dyDescent="0.15">
      <c r="A35">
        <v>100000</v>
      </c>
      <c r="B35" s="1">
        <v>204036.88640196991</v>
      </c>
      <c r="C35" s="1">
        <v>204036.88640196991</v>
      </c>
      <c r="D35" s="1">
        <v>97088.891198037061</v>
      </c>
      <c r="E35" s="1">
        <v>0.57692307692307687</v>
      </c>
      <c r="F35" s="1">
        <v>1.0403688640196991</v>
      </c>
      <c r="G35" s="1">
        <v>0.1265130674167603</v>
      </c>
      <c r="H35" s="1">
        <v>26</v>
      </c>
      <c r="I35" s="1">
        <v>15</v>
      </c>
      <c r="J35" s="3">
        <v>43832</v>
      </c>
      <c r="K35" s="3">
        <v>46017</v>
      </c>
      <c r="L35" s="1">
        <v>9092.1903999999995</v>
      </c>
      <c r="M35" s="1">
        <v>23593.095700000002</v>
      </c>
      <c r="N35" s="1">
        <v>1.594874794966898</v>
      </c>
      <c r="O35" s="1" t="s">
        <v>17</v>
      </c>
      <c r="P35" s="1" t="s">
        <v>28</v>
      </c>
    </row>
    <row r="36" spans="1:16" x14ac:dyDescent="0.15">
      <c r="A36">
        <v>100000</v>
      </c>
      <c r="B36" s="1">
        <v>136897.23373473561</v>
      </c>
      <c r="C36" s="1">
        <v>136897.23373473561</v>
      </c>
      <c r="D36" s="1">
        <v>92984.922256751524</v>
      </c>
      <c r="E36" s="1">
        <v>0.66666666666666663</v>
      </c>
      <c r="F36" s="1">
        <v>0.36897233734735568</v>
      </c>
      <c r="G36" s="1">
        <v>5.4066941078676267E-2</v>
      </c>
      <c r="H36" s="1">
        <v>6</v>
      </c>
      <c r="I36" s="1">
        <v>4</v>
      </c>
      <c r="J36" s="3">
        <v>43842</v>
      </c>
      <c r="K36" s="3">
        <v>46019</v>
      </c>
      <c r="L36" s="1">
        <v>9178.8603999999996</v>
      </c>
      <c r="M36" s="1">
        <v>23593.095700000002</v>
      </c>
      <c r="N36" s="1">
        <v>1.570373082479825</v>
      </c>
      <c r="O36" s="1" t="s">
        <v>18</v>
      </c>
      <c r="P36" s="1" t="s">
        <v>28</v>
      </c>
    </row>
    <row r="37" spans="1:16" x14ac:dyDescent="0.15">
      <c r="A37">
        <v>100000</v>
      </c>
      <c r="B37" s="1">
        <v>115377.08436291839</v>
      </c>
      <c r="C37" s="1">
        <v>115377.08436291839</v>
      </c>
      <c r="D37" s="1">
        <v>93217.619290467541</v>
      </c>
      <c r="E37" s="1">
        <v>0.66666666666666663</v>
      </c>
      <c r="F37" s="1">
        <v>0.153770843629184</v>
      </c>
      <c r="G37" s="1">
        <v>2.4453375523400659E-2</v>
      </c>
      <c r="H37" s="1">
        <v>3</v>
      </c>
      <c r="I37" s="1">
        <v>2</v>
      </c>
      <c r="J37" s="3">
        <v>43861</v>
      </c>
      <c r="K37" s="3">
        <v>46022</v>
      </c>
      <c r="L37" s="1">
        <v>9150.9403999999995</v>
      </c>
      <c r="M37" s="1">
        <v>23593.095700000002</v>
      </c>
      <c r="N37" s="1">
        <v>1.57821542581569</v>
      </c>
      <c r="O37" s="1" t="s">
        <v>19</v>
      </c>
      <c r="P37" s="1" t="s">
        <v>28</v>
      </c>
    </row>
    <row r="38" spans="1:16" x14ac:dyDescent="0.15">
      <c r="A38">
        <v>100000</v>
      </c>
      <c r="B38" s="1">
        <v>131198.05010010791</v>
      </c>
      <c r="C38" s="1">
        <v>131260.5497335158</v>
      </c>
      <c r="D38" s="1">
        <v>99748.177859963282</v>
      </c>
      <c r="E38" s="1">
        <v>0.58974358974358976</v>
      </c>
      <c r="F38" s="1">
        <v>0.31198050100107849</v>
      </c>
      <c r="G38" s="1">
        <v>0.20024467027850501</v>
      </c>
      <c r="H38" s="1">
        <v>39</v>
      </c>
      <c r="I38" s="1">
        <v>23</v>
      </c>
      <c r="J38" s="3">
        <v>45474</v>
      </c>
      <c r="K38" s="3">
        <v>46017</v>
      </c>
      <c r="L38" s="1">
        <v>39191.3203125</v>
      </c>
      <c r="M38" s="1">
        <v>48715.76171875</v>
      </c>
      <c r="N38" s="1">
        <v>0.24302425461313679</v>
      </c>
      <c r="O38" s="1" t="s">
        <v>16</v>
      </c>
      <c r="P38" s="1" t="s">
        <v>29</v>
      </c>
    </row>
    <row r="39" spans="1:16" x14ac:dyDescent="0.15">
      <c r="A39">
        <v>100000</v>
      </c>
      <c r="B39" s="1">
        <v>153344.72547429361</v>
      </c>
      <c r="C39" s="1">
        <v>158857.67283092369</v>
      </c>
      <c r="D39" s="1">
        <v>92764.743561697425</v>
      </c>
      <c r="E39" s="1">
        <v>0.54166666666666663</v>
      </c>
      <c r="F39" s="1">
        <v>0.53344725474293586</v>
      </c>
      <c r="G39" s="1">
        <v>7.402803801026403E-2</v>
      </c>
      <c r="H39" s="1">
        <v>24</v>
      </c>
      <c r="I39" s="1">
        <v>13</v>
      </c>
      <c r="J39" s="3">
        <v>43832</v>
      </c>
      <c r="K39" s="3">
        <v>46017</v>
      </c>
      <c r="L39" s="1">
        <v>28868.800800000001</v>
      </c>
      <c r="M39" s="1">
        <v>48710.968800000002</v>
      </c>
      <c r="N39" s="1">
        <v>0.68732221118100623</v>
      </c>
      <c r="O39" s="1" t="s">
        <v>17</v>
      </c>
      <c r="P39" s="1" t="s">
        <v>29</v>
      </c>
    </row>
    <row r="40" spans="1:16" x14ac:dyDescent="0.15">
      <c r="A40">
        <v>100000</v>
      </c>
      <c r="B40" s="1">
        <v>93399.946444897476</v>
      </c>
      <c r="C40" s="1">
        <v>101832.6582853562</v>
      </c>
      <c r="D40" s="1">
        <v>79053.663875381331</v>
      </c>
      <c r="E40" s="1">
        <v>0.4</v>
      </c>
      <c r="F40" s="1">
        <v>-6.6000535551025252E-2</v>
      </c>
      <c r="G40" s="1">
        <v>-1.138258028781269E-2</v>
      </c>
      <c r="H40" s="1">
        <v>5</v>
      </c>
      <c r="I40" s="1">
        <v>2</v>
      </c>
      <c r="J40" s="3">
        <v>43842</v>
      </c>
      <c r="K40" s="3">
        <v>46019</v>
      </c>
      <c r="L40" s="1">
        <v>28823.769499999999</v>
      </c>
      <c r="M40" s="1">
        <v>48710.968800000002</v>
      </c>
      <c r="N40" s="1">
        <v>0.68995831027582999</v>
      </c>
      <c r="O40" s="1" t="s">
        <v>18</v>
      </c>
      <c r="P40" s="1" t="s">
        <v>29</v>
      </c>
    </row>
    <row r="41" spans="1:16" x14ac:dyDescent="0.15">
      <c r="A41">
        <v>100000</v>
      </c>
      <c r="B41" s="1">
        <v>96223.215255804054</v>
      </c>
      <c r="C41" s="1">
        <v>100000</v>
      </c>
      <c r="D41" s="1">
        <v>81022.423917628737</v>
      </c>
      <c r="E41" s="1">
        <v>0.33333333333333331</v>
      </c>
      <c r="F41" s="1">
        <v>-3.776784744195949E-2</v>
      </c>
      <c r="G41" s="1">
        <v>-6.4816010991183282E-3</v>
      </c>
      <c r="H41" s="1">
        <v>3</v>
      </c>
      <c r="I41" s="1">
        <v>1</v>
      </c>
      <c r="J41" s="3">
        <v>43861</v>
      </c>
      <c r="K41" s="3">
        <v>46022</v>
      </c>
      <c r="L41" s="1">
        <v>28256.029299999998</v>
      </c>
      <c r="M41" s="1">
        <v>48710.968800000002</v>
      </c>
      <c r="N41" s="1">
        <v>0.72391415236818168</v>
      </c>
      <c r="O41" s="1" t="s">
        <v>19</v>
      </c>
      <c r="P41" s="1" t="s">
        <v>29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"/>
  <sheetViews>
    <sheetView workbookViewId="0">
      <selection activeCell="C43" sqref="C43"/>
    </sheetView>
  </sheetViews>
  <sheetFormatPr defaultRowHeight="13.5" x14ac:dyDescent="0.15"/>
  <cols>
    <col min="2" max="9" width="12.75" style="1" customWidth="1"/>
    <col min="10" max="10" width="29.75" style="1" customWidth="1"/>
    <col min="11" max="14" width="12.75" style="1" customWidth="1"/>
    <col min="15" max="15" width="23.5" style="1" customWidth="1"/>
    <col min="16" max="16" width="12.75" style="1" customWidth="1"/>
  </cols>
  <sheetData>
    <row r="1" spans="1:16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</row>
    <row r="2" spans="1:16" x14ac:dyDescent="0.15">
      <c r="A2">
        <v>100000</v>
      </c>
      <c r="B2" s="1">
        <v>95016.499676824998</v>
      </c>
      <c r="C2" s="1">
        <v>100000</v>
      </c>
      <c r="D2" s="1">
        <v>93160.15454357749</v>
      </c>
      <c r="E2" s="1">
        <v>0.25</v>
      </c>
      <c r="F2" s="1">
        <v>-4.9835003231750052E-2</v>
      </c>
      <c r="G2" s="1">
        <v>-0.33941996434594612</v>
      </c>
      <c r="H2" s="1">
        <v>4</v>
      </c>
      <c r="I2" s="1">
        <v>1</v>
      </c>
      <c r="J2" s="3">
        <v>45975</v>
      </c>
      <c r="K2" s="1">
        <v>4030.95</v>
      </c>
      <c r="L2" s="1">
        <v>3965.28</v>
      </c>
      <c r="M2" s="1">
        <v>-1.6291444944739979E-2</v>
      </c>
      <c r="N2" s="1" t="s">
        <v>16</v>
      </c>
      <c r="O2" s="1" t="s">
        <v>20</v>
      </c>
      <c r="P2" s="1">
        <f>F2-M2</f>
        <v>-3.354355828701007E-2</v>
      </c>
    </row>
    <row r="3" spans="1:16" x14ac:dyDescent="0.15">
      <c r="A3">
        <v>100000</v>
      </c>
      <c r="B3" s="1">
        <v>102419.49977765769</v>
      </c>
      <c r="C3" s="1">
        <v>105840.7691956214</v>
      </c>
      <c r="D3" s="1">
        <v>98933.087030594193</v>
      </c>
      <c r="E3" s="1">
        <v>1</v>
      </c>
      <c r="F3" s="1">
        <v>2.4194997776577409E-2</v>
      </c>
      <c r="G3" s="1">
        <v>0.213989221696117</v>
      </c>
      <c r="H3" s="1">
        <v>2</v>
      </c>
      <c r="I3" s="1">
        <v>2</v>
      </c>
      <c r="J3" s="3">
        <v>45975</v>
      </c>
      <c r="K3" s="1">
        <v>3161.96</v>
      </c>
      <c r="L3" s="1">
        <v>3222.61</v>
      </c>
      <c r="M3" s="1">
        <v>1.9181140811395488E-2</v>
      </c>
      <c r="N3" s="1" t="s">
        <v>16</v>
      </c>
      <c r="O3" s="1" t="s">
        <v>21</v>
      </c>
      <c r="P3" s="1">
        <f t="shared" ref="P3:P11" si="0">F3-M3</f>
        <v>5.0138569651819211E-3</v>
      </c>
    </row>
    <row r="4" spans="1:16" x14ac:dyDescent="0.15">
      <c r="A4">
        <v>100000</v>
      </c>
      <c r="B4" s="1">
        <v>103866.5482882896</v>
      </c>
      <c r="C4" s="1">
        <v>104864.9565247797</v>
      </c>
      <c r="D4" s="1">
        <v>98851.686346147704</v>
      </c>
      <c r="E4" s="1">
        <v>0.5</v>
      </c>
      <c r="F4" s="1">
        <v>3.8665482882895619E-2</v>
      </c>
      <c r="G4" s="1">
        <v>0.36030479124284098</v>
      </c>
      <c r="H4" s="1">
        <v>2</v>
      </c>
      <c r="I4" s="1">
        <v>1</v>
      </c>
      <c r="J4" s="3">
        <v>45975</v>
      </c>
      <c r="K4" s="1">
        <v>1534.2</v>
      </c>
      <c r="L4" s="1">
        <v>1456.45</v>
      </c>
      <c r="M4" s="1">
        <v>-5.0677877721287963E-2</v>
      </c>
      <c r="N4" s="1" t="s">
        <v>16</v>
      </c>
      <c r="O4" s="1" t="s">
        <v>22</v>
      </c>
      <c r="P4" s="1">
        <f t="shared" si="0"/>
        <v>8.9343360604183575E-2</v>
      </c>
    </row>
    <row r="5" spans="1:16" x14ac:dyDescent="0.15">
      <c r="A5">
        <v>100000</v>
      </c>
      <c r="B5" s="1">
        <v>158949.1607159299</v>
      </c>
      <c r="C5" s="1">
        <v>159417.9919228509</v>
      </c>
      <c r="D5" s="1">
        <v>95050.816901234371</v>
      </c>
      <c r="E5" s="1">
        <v>0.59523809523809523</v>
      </c>
      <c r="F5" s="1">
        <v>0.58949160715929882</v>
      </c>
      <c r="G5" s="1">
        <v>0.36784113974128019</v>
      </c>
      <c r="H5" s="1">
        <v>42</v>
      </c>
      <c r="I5" s="1">
        <v>25</v>
      </c>
      <c r="J5" s="3">
        <v>45475</v>
      </c>
      <c r="K5" s="1">
        <v>17929.16015625</v>
      </c>
      <c r="L5" s="1">
        <v>25814.169921875</v>
      </c>
      <c r="M5" s="1">
        <v>0.43978690005043719</v>
      </c>
      <c r="N5" s="1" t="s">
        <v>16</v>
      </c>
      <c r="O5" s="1" t="s">
        <v>23</v>
      </c>
      <c r="P5" s="1">
        <f t="shared" si="0"/>
        <v>0.14970470710886163</v>
      </c>
    </row>
    <row r="6" spans="1:16" x14ac:dyDescent="0.15">
      <c r="A6">
        <v>100000</v>
      </c>
      <c r="B6" s="1">
        <v>133395.82768203691</v>
      </c>
      <c r="C6" s="1">
        <v>141537.1406169087</v>
      </c>
      <c r="D6" s="1">
        <v>86930.218201077747</v>
      </c>
      <c r="E6" s="1">
        <v>0.41304347826086962</v>
      </c>
      <c r="F6" s="1">
        <v>0.33395827682036899</v>
      </c>
      <c r="G6" s="1">
        <v>0.21502968500907091</v>
      </c>
      <c r="H6" s="1">
        <v>46</v>
      </c>
      <c r="I6" s="1">
        <v>19</v>
      </c>
      <c r="J6" s="3">
        <v>45475</v>
      </c>
      <c r="K6" s="1">
        <v>3582.75</v>
      </c>
      <c r="L6" s="1">
        <v>5502.2099609375</v>
      </c>
      <c r="M6" s="1">
        <v>0.53575046010397043</v>
      </c>
      <c r="N6" s="1" t="s">
        <v>16</v>
      </c>
      <c r="O6" s="1" t="s">
        <v>24</v>
      </c>
      <c r="P6" s="1">
        <f t="shared" si="0"/>
        <v>-0.20179218328360143</v>
      </c>
    </row>
    <row r="7" spans="1:16" x14ac:dyDescent="0.15">
      <c r="A7">
        <v>100000</v>
      </c>
      <c r="B7" s="1">
        <v>128267.7192149389</v>
      </c>
      <c r="C7" s="1">
        <v>128365.4356919173</v>
      </c>
      <c r="D7" s="1">
        <v>98070.275259534188</v>
      </c>
      <c r="E7" s="1">
        <v>0.53846153846153844</v>
      </c>
      <c r="F7" s="1">
        <v>0.28267719214938869</v>
      </c>
      <c r="G7" s="1">
        <v>0.1821581531591909</v>
      </c>
      <c r="H7" s="1">
        <v>39</v>
      </c>
      <c r="I7" s="1">
        <v>21</v>
      </c>
      <c r="J7" s="3">
        <v>45474</v>
      </c>
      <c r="K7" s="1">
        <v>5463</v>
      </c>
      <c r="L7" s="1">
        <v>6930.52001953125</v>
      </c>
      <c r="M7" s="1">
        <v>0.26862896202292702</v>
      </c>
      <c r="N7" s="1" t="s">
        <v>16</v>
      </c>
      <c r="O7" s="1" t="s">
        <v>25</v>
      </c>
      <c r="P7" s="1">
        <f t="shared" si="0"/>
        <v>1.4048230126461669E-2</v>
      </c>
    </row>
    <row r="8" spans="1:16" x14ac:dyDescent="0.15">
      <c r="A8">
        <v>100000</v>
      </c>
      <c r="B8" s="1">
        <v>104977.0283406572</v>
      </c>
      <c r="C8" s="1">
        <v>105615.6332326838</v>
      </c>
      <c r="D8" s="1">
        <v>99155.859158400606</v>
      </c>
      <c r="E8" s="1">
        <v>1</v>
      </c>
      <c r="F8" s="1">
        <v>4.977028340657208E-2</v>
      </c>
      <c r="G8" s="1">
        <v>0.48285267884787691</v>
      </c>
      <c r="H8" s="1">
        <v>2</v>
      </c>
      <c r="I8" s="1">
        <v>2</v>
      </c>
      <c r="J8" s="3">
        <v>45975</v>
      </c>
      <c r="K8" s="1">
        <v>13382.75</v>
      </c>
      <c r="L8" s="1">
        <v>13537.1</v>
      </c>
      <c r="M8" s="1">
        <v>1.15335039509817E-2</v>
      </c>
      <c r="N8" s="1" t="s">
        <v>16</v>
      </c>
      <c r="O8" s="1" t="s">
        <v>26</v>
      </c>
      <c r="P8" s="1">
        <f t="shared" si="0"/>
        <v>3.8236779455590383E-2</v>
      </c>
    </row>
    <row r="9" spans="1:16" x14ac:dyDescent="0.15">
      <c r="A9">
        <v>100000</v>
      </c>
      <c r="B9" s="1">
        <v>98286.116282448798</v>
      </c>
      <c r="C9" s="1">
        <v>101131.09655811729</v>
      </c>
      <c r="D9" s="1">
        <v>97772.171411520321</v>
      </c>
      <c r="E9" s="1">
        <v>0.5</v>
      </c>
      <c r="F9" s="1">
        <v>-1.7138837175512012E-2</v>
      </c>
      <c r="G9" s="1">
        <v>-0.130833071289606</v>
      </c>
      <c r="H9" s="1">
        <v>2</v>
      </c>
      <c r="I9" s="1">
        <v>1</v>
      </c>
      <c r="J9" s="3">
        <v>45975</v>
      </c>
      <c r="K9" s="1">
        <v>1388.19</v>
      </c>
      <c r="L9" s="1">
        <v>1346.32</v>
      </c>
      <c r="M9" s="1">
        <v>-3.0161577305700311E-2</v>
      </c>
      <c r="N9" s="1" t="s">
        <v>16</v>
      </c>
      <c r="O9" s="1" t="s">
        <v>27</v>
      </c>
      <c r="P9" s="1">
        <f t="shared" si="0"/>
        <v>1.3022740130188299E-2</v>
      </c>
    </row>
    <row r="10" spans="1:16" x14ac:dyDescent="0.15">
      <c r="A10">
        <v>100000</v>
      </c>
      <c r="B10" s="1">
        <v>122261.5485525117</v>
      </c>
      <c r="C10" s="1">
        <v>122430.1002072968</v>
      </c>
      <c r="D10" s="1">
        <v>94611.991298414097</v>
      </c>
      <c r="E10" s="1">
        <v>0.53658536585365857</v>
      </c>
      <c r="F10" s="1">
        <v>0.22261548552511681</v>
      </c>
      <c r="G10" s="1">
        <v>0.14465741534980661</v>
      </c>
      <c r="H10" s="1">
        <v>41</v>
      </c>
      <c r="I10" s="1">
        <v>22</v>
      </c>
      <c r="J10" s="3">
        <v>45474</v>
      </c>
      <c r="K10" s="1">
        <v>17769.29296875</v>
      </c>
      <c r="L10" s="1">
        <v>23592.794921875</v>
      </c>
      <c r="M10" s="1">
        <v>0.32772839996315623</v>
      </c>
      <c r="N10" s="1" t="s">
        <v>16</v>
      </c>
      <c r="O10" s="1" t="s">
        <v>28</v>
      </c>
      <c r="P10" s="1">
        <f t="shared" si="0"/>
        <v>-0.10511291443803941</v>
      </c>
    </row>
    <row r="11" spans="1:16" x14ac:dyDescent="0.15">
      <c r="A11">
        <v>100000</v>
      </c>
      <c r="B11" s="1">
        <v>131198.05010010791</v>
      </c>
      <c r="C11" s="1">
        <v>131260.5497335158</v>
      </c>
      <c r="D11" s="1">
        <v>99748.177859963282</v>
      </c>
      <c r="E11" s="1">
        <v>0.58974358974358976</v>
      </c>
      <c r="F11" s="1">
        <v>0.31198050100107849</v>
      </c>
      <c r="G11" s="1">
        <v>0.20024467027850501</v>
      </c>
      <c r="H11" s="1">
        <v>39</v>
      </c>
      <c r="I11" s="1">
        <v>23</v>
      </c>
      <c r="J11" s="3">
        <v>45474</v>
      </c>
      <c r="K11" s="1">
        <v>39191.3203125</v>
      </c>
      <c r="L11" s="1">
        <v>48715.76171875</v>
      </c>
      <c r="M11" s="1">
        <v>0.24302425461313679</v>
      </c>
      <c r="N11" s="1" t="s">
        <v>16</v>
      </c>
      <c r="O11" s="1" t="s">
        <v>29</v>
      </c>
      <c r="P11" s="1">
        <f t="shared" si="0"/>
        <v>6.8956246387941705E-2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"/>
  <sheetViews>
    <sheetView tabSelected="1" workbookViewId="0">
      <selection activeCell="P8" sqref="P8"/>
    </sheetView>
  </sheetViews>
  <sheetFormatPr defaultRowHeight="13.5" x14ac:dyDescent="0.15"/>
  <cols>
    <col min="2" max="17" width="12.75" style="1" customWidth="1"/>
  </cols>
  <sheetData>
    <row r="1" spans="1:16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15">
      <c r="A2">
        <v>100000</v>
      </c>
      <c r="B2" s="1">
        <v>131970.4929285245</v>
      </c>
      <c r="C2" s="1">
        <v>131970.4929285245</v>
      </c>
      <c r="D2" s="1">
        <v>82587.856325151821</v>
      </c>
      <c r="E2" s="1">
        <v>0.6</v>
      </c>
      <c r="F2" s="1">
        <v>0.31970492928524469</v>
      </c>
      <c r="G2" s="1">
        <v>4.7364446327722957E-2</v>
      </c>
      <c r="H2" s="1">
        <v>20</v>
      </c>
      <c r="I2" s="1">
        <v>12</v>
      </c>
      <c r="J2" s="3">
        <v>43832</v>
      </c>
      <c r="K2" s="3">
        <v>46020</v>
      </c>
      <c r="L2" s="1">
        <v>3085.1979999999999</v>
      </c>
      <c r="M2" s="1">
        <v>3965.28</v>
      </c>
      <c r="N2" s="1">
        <v>0.28525948739756751</v>
      </c>
      <c r="O2" s="1" t="s">
        <v>17</v>
      </c>
      <c r="P2" s="1" t="s">
        <v>20</v>
      </c>
    </row>
    <row r="3" spans="1:16" x14ac:dyDescent="0.15">
      <c r="A3">
        <v>100000</v>
      </c>
      <c r="B3" s="1">
        <v>111360.9998000651</v>
      </c>
      <c r="C3" s="1">
        <v>121851.362667717</v>
      </c>
      <c r="D3" s="1">
        <v>90724.385954542158</v>
      </c>
      <c r="E3" s="1">
        <v>0.45454545454545447</v>
      </c>
      <c r="F3" s="1">
        <v>0.1136099980006509</v>
      </c>
      <c r="G3" s="1">
        <v>1.81129772792985E-2</v>
      </c>
      <c r="H3" s="1">
        <v>22</v>
      </c>
      <c r="I3" s="1">
        <v>10</v>
      </c>
      <c r="J3" s="3">
        <v>43832</v>
      </c>
      <c r="K3" s="3">
        <v>46020</v>
      </c>
      <c r="L3" s="1">
        <v>1832.742</v>
      </c>
      <c r="M3" s="1">
        <v>3222.6109999999999</v>
      </c>
      <c r="N3" s="1">
        <v>0.75835496758408982</v>
      </c>
      <c r="O3" s="1" t="s">
        <v>17</v>
      </c>
      <c r="P3" s="1" t="s">
        <v>21</v>
      </c>
    </row>
    <row r="4" spans="1:16" x14ac:dyDescent="0.15">
      <c r="A4">
        <v>100000</v>
      </c>
      <c r="B4" s="1">
        <v>134432.97895292789</v>
      </c>
      <c r="C4" s="1">
        <v>143586.2370939145</v>
      </c>
      <c r="D4" s="1">
        <v>91083.977406237609</v>
      </c>
      <c r="E4" s="1">
        <v>0.35714285714285721</v>
      </c>
      <c r="F4" s="1">
        <v>0.34432978952927917</v>
      </c>
      <c r="G4" s="1">
        <v>8.4328539263030189E-2</v>
      </c>
      <c r="H4" s="1">
        <v>14</v>
      </c>
      <c r="I4" s="1">
        <v>5</v>
      </c>
      <c r="J4" s="3">
        <v>44686</v>
      </c>
      <c r="K4" s="3">
        <v>46020</v>
      </c>
      <c r="L4" s="1">
        <v>1031.3150000000001</v>
      </c>
      <c r="M4" s="1">
        <v>1456.4490000000001</v>
      </c>
      <c r="N4" s="1">
        <v>0.41222516883784288</v>
      </c>
      <c r="O4" s="1" t="s">
        <v>17</v>
      </c>
      <c r="P4" s="1" t="s">
        <v>22</v>
      </c>
    </row>
    <row r="5" spans="1:16" x14ac:dyDescent="0.15">
      <c r="A5">
        <v>100000</v>
      </c>
      <c r="B5" s="1">
        <v>83017.867288044348</v>
      </c>
      <c r="C5" s="1">
        <v>100000</v>
      </c>
      <c r="D5" s="1">
        <v>66560.621838071806</v>
      </c>
      <c r="E5" s="1">
        <v>0.32</v>
      </c>
      <c r="F5" s="1">
        <v>-0.16982132711955661</v>
      </c>
      <c r="G5" s="1">
        <v>-3.063932339120334E-2</v>
      </c>
      <c r="H5" s="1">
        <v>25</v>
      </c>
      <c r="I5" s="1">
        <v>8</v>
      </c>
      <c r="J5" s="3">
        <v>43832</v>
      </c>
      <c r="K5" s="3">
        <v>46015</v>
      </c>
      <c r="L5" s="1">
        <v>28543.52</v>
      </c>
      <c r="M5" s="1">
        <v>25818.93</v>
      </c>
      <c r="N5" s="1">
        <v>-9.5453889359125993E-2</v>
      </c>
      <c r="O5" s="1" t="s">
        <v>17</v>
      </c>
      <c r="P5" s="1" t="s">
        <v>23</v>
      </c>
    </row>
    <row r="6" spans="1:16" x14ac:dyDescent="0.15">
      <c r="A6">
        <v>100000</v>
      </c>
      <c r="B6" s="1">
        <v>94131.876993213955</v>
      </c>
      <c r="C6" s="1">
        <v>126100.9730148056</v>
      </c>
      <c r="D6" s="1">
        <v>63253.976999628358</v>
      </c>
      <c r="E6" s="1">
        <v>0.29166666666666669</v>
      </c>
      <c r="F6" s="1">
        <v>-5.8681230067860413E-2</v>
      </c>
      <c r="G6" s="1">
        <v>-1.1226939888681949E-2</v>
      </c>
      <c r="H6" s="1">
        <v>24</v>
      </c>
      <c r="I6" s="1">
        <v>7</v>
      </c>
      <c r="J6" s="3">
        <v>44060</v>
      </c>
      <c r="K6" s="3">
        <v>46015</v>
      </c>
      <c r="L6" s="1">
        <v>7075.03</v>
      </c>
      <c r="M6" s="1">
        <v>5499.3</v>
      </c>
      <c r="N6" s="1">
        <v>-0.22271707681804881</v>
      </c>
      <c r="O6" s="1" t="s">
        <v>17</v>
      </c>
      <c r="P6" s="1" t="s">
        <v>24</v>
      </c>
    </row>
    <row r="7" spans="1:16" x14ac:dyDescent="0.15">
      <c r="A7">
        <v>100000</v>
      </c>
      <c r="B7" s="1">
        <v>136253.1712907865</v>
      </c>
      <c r="C7" s="1">
        <v>144655.4052477142</v>
      </c>
      <c r="D7" s="1">
        <v>92826.968183534991</v>
      </c>
      <c r="E7" s="1">
        <v>0.45161290322580638</v>
      </c>
      <c r="F7" s="1">
        <v>0.36253171290786529</v>
      </c>
      <c r="G7" s="1">
        <v>5.30338731162876E-2</v>
      </c>
      <c r="H7" s="1">
        <v>31</v>
      </c>
      <c r="I7" s="1">
        <v>14</v>
      </c>
      <c r="J7" s="3">
        <v>43832</v>
      </c>
      <c r="K7" s="3">
        <v>46017</v>
      </c>
      <c r="L7" s="1">
        <v>3257.8501000000001</v>
      </c>
      <c r="M7" s="1">
        <v>6929.9399000000003</v>
      </c>
      <c r="N7" s="1">
        <v>1.127151246154634</v>
      </c>
      <c r="O7" s="1" t="s">
        <v>17</v>
      </c>
      <c r="P7" s="1" t="s">
        <v>25</v>
      </c>
    </row>
    <row r="8" spans="1:16" x14ac:dyDescent="0.15">
      <c r="A8">
        <v>100000</v>
      </c>
      <c r="B8" s="1">
        <v>147089.7844494353</v>
      </c>
      <c r="C8" s="1">
        <v>147815.57937665409</v>
      </c>
      <c r="D8" s="1">
        <v>97222.907189940175</v>
      </c>
      <c r="E8" s="1">
        <v>0.52631578947368418</v>
      </c>
      <c r="F8" s="1">
        <v>0.47089784449435318</v>
      </c>
      <c r="G8" s="1">
        <v>6.6487940953081859E-2</v>
      </c>
      <c r="H8" s="1">
        <v>19</v>
      </c>
      <c r="I8" s="1">
        <v>10</v>
      </c>
      <c r="J8" s="3">
        <v>43832</v>
      </c>
      <c r="K8" s="3">
        <v>46020</v>
      </c>
      <c r="L8" s="1">
        <v>10638.824000000001</v>
      </c>
      <c r="M8" s="1">
        <v>13537.097</v>
      </c>
      <c r="N8" s="1">
        <v>0.27242418898930931</v>
      </c>
      <c r="O8" s="1" t="s">
        <v>17</v>
      </c>
      <c r="P8" s="1" t="s">
        <v>26</v>
      </c>
    </row>
    <row r="9" spans="1:16" x14ac:dyDescent="0.15">
      <c r="A9">
        <v>100000</v>
      </c>
      <c r="B9" s="1">
        <v>162127.3472172757</v>
      </c>
      <c r="C9" s="1">
        <v>162127.3472172757</v>
      </c>
      <c r="D9" s="1">
        <v>99160.035109079836</v>
      </c>
      <c r="E9" s="1">
        <v>0.42857142857142849</v>
      </c>
      <c r="F9" s="1">
        <v>0.6212734721727573</v>
      </c>
      <c r="G9" s="1">
        <v>8.3946923072094393E-2</v>
      </c>
      <c r="H9" s="1">
        <v>28</v>
      </c>
      <c r="I9" s="1">
        <v>12</v>
      </c>
      <c r="J9" s="3">
        <v>43832</v>
      </c>
      <c r="K9" s="3">
        <v>46020</v>
      </c>
      <c r="L9" s="1">
        <v>1019.723</v>
      </c>
      <c r="M9" s="1">
        <v>1346.319</v>
      </c>
      <c r="N9" s="1">
        <v>0.32027913462773722</v>
      </c>
      <c r="O9" s="1" t="s">
        <v>17</v>
      </c>
      <c r="P9" s="1" t="s">
        <v>27</v>
      </c>
    </row>
    <row r="10" spans="1:16" x14ac:dyDescent="0.15">
      <c r="A10">
        <v>100000</v>
      </c>
      <c r="B10" s="1">
        <v>204036.88640196991</v>
      </c>
      <c r="C10" s="1">
        <v>204036.88640196991</v>
      </c>
      <c r="D10" s="1">
        <v>97088.891198037061</v>
      </c>
      <c r="E10" s="1">
        <v>0.57692307692307687</v>
      </c>
      <c r="F10" s="1">
        <v>1.0403688640196991</v>
      </c>
      <c r="G10" s="1">
        <v>0.1265130674167603</v>
      </c>
      <c r="H10" s="1">
        <v>26</v>
      </c>
      <c r="I10" s="1">
        <v>15</v>
      </c>
      <c r="J10" s="3">
        <v>43832</v>
      </c>
      <c r="K10" s="3">
        <v>46017</v>
      </c>
      <c r="L10" s="1">
        <v>9092.1903999999995</v>
      </c>
      <c r="M10" s="1">
        <v>23593.095700000002</v>
      </c>
      <c r="N10" s="1">
        <v>1.594874794966898</v>
      </c>
      <c r="O10" s="1" t="s">
        <v>17</v>
      </c>
      <c r="P10" s="1" t="s">
        <v>28</v>
      </c>
    </row>
    <row r="11" spans="1:16" x14ac:dyDescent="0.15">
      <c r="A11">
        <v>100000</v>
      </c>
      <c r="B11" s="1">
        <v>153344.72547429361</v>
      </c>
      <c r="C11" s="1">
        <v>158857.67283092369</v>
      </c>
      <c r="D11" s="1">
        <v>92764.743561697425</v>
      </c>
      <c r="E11" s="1">
        <v>0.54166666666666663</v>
      </c>
      <c r="F11" s="1">
        <v>0.53344725474293586</v>
      </c>
      <c r="G11" s="1">
        <v>7.402803801026403E-2</v>
      </c>
      <c r="H11" s="1">
        <v>24</v>
      </c>
      <c r="I11" s="1">
        <v>13</v>
      </c>
      <c r="J11" s="3">
        <v>43832</v>
      </c>
      <c r="K11" s="3">
        <v>46017</v>
      </c>
      <c r="L11" s="1">
        <v>28868.800800000001</v>
      </c>
      <c r="M11" s="1">
        <v>48710.968800000002</v>
      </c>
      <c r="N11" s="1">
        <v>0.68732221118100623</v>
      </c>
      <c r="O11" s="1" t="s">
        <v>17</v>
      </c>
      <c r="P11" s="1" t="s">
        <v>29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1"/>
  <sheetViews>
    <sheetView workbookViewId="0"/>
  </sheetViews>
  <sheetFormatPr defaultRowHeight="13.5" x14ac:dyDescent="0.15"/>
  <cols>
    <col min="2" max="17" width="12.75" style="1" customWidth="1"/>
  </cols>
  <sheetData>
    <row r="1" spans="1:16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15">
      <c r="A2">
        <v>100000</v>
      </c>
      <c r="B2" s="1">
        <v>0</v>
      </c>
      <c r="C2" s="1">
        <v>104375.4281465806</v>
      </c>
      <c r="D2" s="1">
        <v>93028.319973553225</v>
      </c>
      <c r="E2" s="1">
        <v>0.33333333333333331</v>
      </c>
      <c r="F2" s="1">
        <v>-1</v>
      </c>
      <c r="G2" s="1">
        <v>-1</v>
      </c>
      <c r="H2" s="1">
        <v>3</v>
      </c>
      <c r="I2" s="1">
        <v>1</v>
      </c>
      <c r="J2" s="3">
        <v>43842</v>
      </c>
      <c r="K2" s="3">
        <v>46019</v>
      </c>
      <c r="L2" s="1">
        <v>3092.2910000000002</v>
      </c>
      <c r="M2" s="1">
        <v>3963.6790000000001</v>
      </c>
      <c r="N2" s="1">
        <v>0.28179366042846538</v>
      </c>
      <c r="O2" s="1" t="s">
        <v>18</v>
      </c>
      <c r="P2" s="1" t="s">
        <v>20</v>
      </c>
    </row>
    <row r="3" spans="1:16" x14ac:dyDescent="0.15">
      <c r="A3">
        <v>100000</v>
      </c>
      <c r="B3" s="1">
        <v>0</v>
      </c>
      <c r="C3" s="1">
        <v>116859.4609318048</v>
      </c>
      <c r="D3" s="1">
        <v>100000</v>
      </c>
      <c r="E3" s="1">
        <v>0.5</v>
      </c>
      <c r="F3" s="1">
        <v>-1</v>
      </c>
      <c r="G3" s="1">
        <v>-1</v>
      </c>
      <c r="H3" s="1">
        <v>2</v>
      </c>
      <c r="I3" s="1">
        <v>1</v>
      </c>
      <c r="J3" s="3">
        <v>43842</v>
      </c>
      <c r="K3" s="3">
        <v>46019</v>
      </c>
      <c r="L3" s="1">
        <v>1904.194</v>
      </c>
      <c r="M3" s="1">
        <v>3243.8760000000002</v>
      </c>
      <c r="N3" s="1">
        <v>0.70354281128918605</v>
      </c>
      <c r="O3" s="1" t="s">
        <v>18</v>
      </c>
      <c r="P3" s="1" t="s">
        <v>21</v>
      </c>
    </row>
    <row r="4" spans="1:16" x14ac:dyDescent="0.15">
      <c r="A4">
        <v>100000</v>
      </c>
      <c r="B4" s="1">
        <v>0</v>
      </c>
      <c r="C4" s="1">
        <v>100000</v>
      </c>
      <c r="D4" s="1">
        <v>86654.866435945849</v>
      </c>
      <c r="E4" s="1">
        <v>0</v>
      </c>
      <c r="F4" s="1">
        <v>-1</v>
      </c>
      <c r="G4" s="1">
        <v>-1</v>
      </c>
      <c r="H4" s="1">
        <v>2</v>
      </c>
      <c r="I4" s="1">
        <v>0</v>
      </c>
      <c r="J4" s="3">
        <v>44696</v>
      </c>
      <c r="K4" s="3">
        <v>46019</v>
      </c>
      <c r="L4" s="1">
        <v>1115.096</v>
      </c>
      <c r="M4" s="1">
        <v>1463.0350000000001</v>
      </c>
      <c r="N4" s="1">
        <v>0.31202604977508669</v>
      </c>
      <c r="O4" s="1" t="s">
        <v>18</v>
      </c>
      <c r="P4" s="1" t="s">
        <v>22</v>
      </c>
    </row>
    <row r="5" spans="1:16" x14ac:dyDescent="0.15">
      <c r="A5">
        <v>100000</v>
      </c>
      <c r="B5" s="1">
        <v>117686.2614636794</v>
      </c>
      <c r="C5" s="1">
        <v>132118.12028539699</v>
      </c>
      <c r="D5" s="1">
        <v>98975.130673389809</v>
      </c>
      <c r="E5" s="1">
        <v>0.66666666666666663</v>
      </c>
      <c r="F5" s="1">
        <v>0.17686261463679401</v>
      </c>
      <c r="G5" s="1">
        <v>2.7680267863356312E-2</v>
      </c>
      <c r="H5" s="1">
        <v>3</v>
      </c>
      <c r="I5" s="1">
        <v>2</v>
      </c>
      <c r="J5" s="3">
        <v>43842</v>
      </c>
      <c r="K5" s="3">
        <v>46019</v>
      </c>
      <c r="L5" s="1">
        <v>28638.199000000001</v>
      </c>
      <c r="M5" s="1">
        <v>25818.93</v>
      </c>
      <c r="N5" s="1">
        <v>-9.8444353990277123E-2</v>
      </c>
      <c r="O5" s="1" t="s">
        <v>18</v>
      </c>
      <c r="P5" s="1" t="s">
        <v>23</v>
      </c>
    </row>
    <row r="6" spans="1:16" x14ac:dyDescent="0.15">
      <c r="A6">
        <v>100000</v>
      </c>
      <c r="B6" s="1">
        <v>114604.0939064203</v>
      </c>
      <c r="C6" s="1">
        <v>127702.6006997489</v>
      </c>
      <c r="D6" s="1">
        <v>95462.911860477951</v>
      </c>
      <c r="E6" s="1">
        <v>0.66666666666666663</v>
      </c>
      <c r="F6" s="1">
        <v>0.14604093906420351</v>
      </c>
      <c r="G6" s="1">
        <v>2.580315092039109E-2</v>
      </c>
      <c r="H6" s="1">
        <v>3</v>
      </c>
      <c r="I6" s="1">
        <v>2</v>
      </c>
      <c r="J6" s="3">
        <v>44066</v>
      </c>
      <c r="K6" s="3">
        <v>46019</v>
      </c>
      <c r="L6" s="1">
        <v>7168.87</v>
      </c>
      <c r="M6" s="1">
        <v>5499.3</v>
      </c>
      <c r="N6" s="1">
        <v>-0.23289165517020111</v>
      </c>
      <c r="O6" s="1" t="s">
        <v>18</v>
      </c>
      <c r="P6" s="1" t="s">
        <v>24</v>
      </c>
    </row>
    <row r="7" spans="1:16" x14ac:dyDescent="0.15">
      <c r="A7">
        <v>100000</v>
      </c>
      <c r="B7" s="1">
        <v>120713.048930191</v>
      </c>
      <c r="C7" s="1">
        <v>120713.048930191</v>
      </c>
      <c r="D7" s="1">
        <v>90069.345130408197</v>
      </c>
      <c r="E7" s="1">
        <v>0.6</v>
      </c>
      <c r="F7" s="1">
        <v>0.2071304893019095</v>
      </c>
      <c r="G7" s="1">
        <v>3.2065045478997238E-2</v>
      </c>
      <c r="H7" s="1">
        <v>5</v>
      </c>
      <c r="I7" s="1">
        <v>3</v>
      </c>
      <c r="J7" s="3">
        <v>43842</v>
      </c>
      <c r="K7" s="3">
        <v>46019</v>
      </c>
      <c r="L7" s="1">
        <v>3265.3501000000001</v>
      </c>
      <c r="M7" s="1">
        <v>6929.9399000000003</v>
      </c>
      <c r="N7" s="1">
        <v>1.1222655114378091</v>
      </c>
      <c r="O7" s="1" t="s">
        <v>18</v>
      </c>
      <c r="P7" s="1" t="s">
        <v>25</v>
      </c>
    </row>
    <row r="8" spans="1:16" x14ac:dyDescent="0.15">
      <c r="A8">
        <v>100000</v>
      </c>
      <c r="B8" s="1">
        <v>0</v>
      </c>
      <c r="C8" s="1">
        <v>106753.2893121394</v>
      </c>
      <c r="D8" s="1">
        <v>82749.25258227592</v>
      </c>
      <c r="E8" s="1">
        <v>0</v>
      </c>
      <c r="F8" s="1">
        <v>-1</v>
      </c>
      <c r="G8" s="1">
        <v>-1</v>
      </c>
      <c r="H8" s="1">
        <v>3</v>
      </c>
      <c r="I8" s="1">
        <v>0</v>
      </c>
      <c r="J8" s="3">
        <v>43842</v>
      </c>
      <c r="K8" s="3">
        <v>46019</v>
      </c>
      <c r="L8" s="1">
        <v>10879.843000000001</v>
      </c>
      <c r="M8" s="1">
        <v>13603.894</v>
      </c>
      <c r="N8" s="1">
        <v>0.25037594752056619</v>
      </c>
      <c r="O8" s="1" t="s">
        <v>18</v>
      </c>
      <c r="P8" s="1" t="s">
        <v>26</v>
      </c>
    </row>
    <row r="9" spans="1:16" x14ac:dyDescent="0.15">
      <c r="A9">
        <v>100000</v>
      </c>
      <c r="B9" s="1">
        <v>0</v>
      </c>
      <c r="C9" s="1">
        <v>118225.6134434218</v>
      </c>
      <c r="D9" s="1">
        <v>82398.333128959988</v>
      </c>
      <c r="E9" s="1">
        <v>0.2</v>
      </c>
      <c r="F9" s="1">
        <v>-1</v>
      </c>
      <c r="G9" s="1">
        <v>-1</v>
      </c>
      <c r="H9" s="1">
        <v>5</v>
      </c>
      <c r="I9" s="1">
        <v>1</v>
      </c>
      <c r="J9" s="3">
        <v>43842</v>
      </c>
      <c r="K9" s="3">
        <v>46019</v>
      </c>
      <c r="L9" s="1">
        <v>1076.4380000000001</v>
      </c>
      <c r="M9" s="1">
        <v>1345.827</v>
      </c>
      <c r="N9" s="1">
        <v>0.25025965266926647</v>
      </c>
      <c r="O9" s="1" t="s">
        <v>18</v>
      </c>
      <c r="P9" s="1" t="s">
        <v>27</v>
      </c>
    </row>
    <row r="10" spans="1:16" x14ac:dyDescent="0.15">
      <c r="A10">
        <v>100000</v>
      </c>
      <c r="B10" s="1">
        <v>136897.23373473561</v>
      </c>
      <c r="C10" s="1">
        <v>136897.23373473561</v>
      </c>
      <c r="D10" s="1">
        <v>92984.922256751524</v>
      </c>
      <c r="E10" s="1">
        <v>0.66666666666666663</v>
      </c>
      <c r="F10" s="1">
        <v>0.36897233734735568</v>
      </c>
      <c r="G10" s="1">
        <v>5.4066941078676267E-2</v>
      </c>
      <c r="H10" s="1">
        <v>6</v>
      </c>
      <c r="I10" s="1">
        <v>4</v>
      </c>
      <c r="J10" s="3">
        <v>43842</v>
      </c>
      <c r="K10" s="3">
        <v>46019</v>
      </c>
      <c r="L10" s="1">
        <v>9178.8603999999996</v>
      </c>
      <c r="M10" s="1">
        <v>23593.095700000002</v>
      </c>
      <c r="N10" s="1">
        <v>1.570373082479825</v>
      </c>
      <c r="O10" s="1" t="s">
        <v>18</v>
      </c>
      <c r="P10" s="1" t="s">
        <v>28</v>
      </c>
    </row>
    <row r="11" spans="1:16" x14ac:dyDescent="0.15">
      <c r="A11">
        <v>100000</v>
      </c>
      <c r="B11" s="1">
        <v>93399.946444897476</v>
      </c>
      <c r="C11" s="1">
        <v>101832.6582853562</v>
      </c>
      <c r="D11" s="1">
        <v>79053.663875381331</v>
      </c>
      <c r="E11" s="1">
        <v>0.4</v>
      </c>
      <c r="F11" s="1">
        <v>-6.6000535551025252E-2</v>
      </c>
      <c r="G11" s="1">
        <v>-1.138258028781269E-2</v>
      </c>
      <c r="H11" s="1">
        <v>5</v>
      </c>
      <c r="I11" s="1">
        <v>2</v>
      </c>
      <c r="J11" s="3">
        <v>43842</v>
      </c>
      <c r="K11" s="3">
        <v>46019</v>
      </c>
      <c r="L11" s="1">
        <v>28823.769499999999</v>
      </c>
      <c r="M11" s="1">
        <v>48710.968800000002</v>
      </c>
      <c r="N11" s="1">
        <v>0.68995831027582999</v>
      </c>
      <c r="O11" s="1" t="s">
        <v>18</v>
      </c>
      <c r="P11" s="1" t="s">
        <v>29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1"/>
  <sheetViews>
    <sheetView workbookViewId="0"/>
  </sheetViews>
  <sheetFormatPr defaultRowHeight="13.5" x14ac:dyDescent="0.15"/>
  <cols>
    <col min="2" max="17" width="12.75" style="1" customWidth="1"/>
  </cols>
  <sheetData>
    <row r="1" spans="1:16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15">
      <c r="A2">
        <v>100000</v>
      </c>
      <c r="B2" s="1">
        <v>131315.34851349611</v>
      </c>
      <c r="C2" s="1">
        <v>131315.34851349611</v>
      </c>
      <c r="D2" s="1">
        <v>100000</v>
      </c>
      <c r="E2" s="1">
        <v>0.66666666666666663</v>
      </c>
      <c r="F2" s="1">
        <v>0.31315348513496127</v>
      </c>
      <c r="G2" s="1">
        <v>4.7089669975159509E-2</v>
      </c>
      <c r="H2" s="1">
        <v>3</v>
      </c>
      <c r="I2" s="1">
        <v>2</v>
      </c>
      <c r="J2" s="3">
        <v>43861</v>
      </c>
      <c r="K2" s="3">
        <v>46022</v>
      </c>
      <c r="L2" s="1">
        <v>2976.5279999999998</v>
      </c>
      <c r="M2" s="1">
        <v>3965.28</v>
      </c>
      <c r="N2" s="1">
        <v>0.33218299979035992</v>
      </c>
      <c r="O2" s="1" t="s">
        <v>19</v>
      </c>
      <c r="P2" s="1" t="s">
        <v>20</v>
      </c>
    </row>
    <row r="3" spans="1:16" x14ac:dyDescent="0.15">
      <c r="A3">
        <v>100000</v>
      </c>
      <c r="B3" s="1">
        <v>89462.475077060226</v>
      </c>
      <c r="C3" s="1">
        <v>117092.9320289131</v>
      </c>
      <c r="D3" s="1">
        <v>89462.475077060226</v>
      </c>
      <c r="E3" s="1">
        <v>0.33333333333333331</v>
      </c>
      <c r="F3" s="1">
        <v>-0.1053752492293978</v>
      </c>
      <c r="G3" s="1">
        <v>-1.8631778357601769E-2</v>
      </c>
      <c r="H3" s="1">
        <v>3</v>
      </c>
      <c r="I3" s="1">
        <v>1</v>
      </c>
      <c r="J3" s="3">
        <v>43861</v>
      </c>
      <c r="K3" s="3">
        <v>46022</v>
      </c>
      <c r="L3" s="1">
        <v>1927.742</v>
      </c>
      <c r="M3" s="1">
        <v>3222.6109999999999</v>
      </c>
      <c r="N3" s="1">
        <v>0.6717024373593562</v>
      </c>
      <c r="O3" s="1" t="s">
        <v>19</v>
      </c>
      <c r="P3" s="1" t="s">
        <v>21</v>
      </c>
    </row>
    <row r="4" spans="1:16" x14ac:dyDescent="0.15">
      <c r="A4">
        <v>100000</v>
      </c>
      <c r="B4" s="1">
        <v>61353.05479111836</v>
      </c>
      <c r="C4" s="1">
        <v>106631.2117646199</v>
      </c>
      <c r="D4" s="1">
        <v>61353.05479111836</v>
      </c>
      <c r="E4" s="1">
        <v>0</v>
      </c>
      <c r="F4" s="1">
        <v>-0.38646945208881639</v>
      </c>
      <c r="G4" s="1">
        <v>-0.12725844248356871</v>
      </c>
      <c r="H4" s="1">
        <v>3</v>
      </c>
      <c r="I4" s="1">
        <v>0</v>
      </c>
      <c r="J4" s="3">
        <v>44712</v>
      </c>
      <c r="K4" s="3">
        <v>46022</v>
      </c>
      <c r="L4" s="1">
        <v>1094.2909999999999</v>
      </c>
      <c r="M4" s="1">
        <v>1456.4490000000001</v>
      </c>
      <c r="N4" s="1">
        <v>0.3309521873066672</v>
      </c>
      <c r="O4" s="1" t="s">
        <v>19</v>
      </c>
      <c r="P4" s="1" t="s">
        <v>22</v>
      </c>
    </row>
    <row r="5" spans="1:16" x14ac:dyDescent="0.15">
      <c r="A5">
        <v>100000</v>
      </c>
      <c r="B5" s="1">
        <v>104618.73485131429</v>
      </c>
      <c r="C5" s="1">
        <v>104618.73485131429</v>
      </c>
      <c r="D5" s="1">
        <v>86168.554147672388</v>
      </c>
      <c r="E5" s="1">
        <v>0.5</v>
      </c>
      <c r="F5" s="1">
        <v>4.6187348513143427E-2</v>
      </c>
      <c r="G5" s="1">
        <v>7.6555537353826253E-3</v>
      </c>
      <c r="H5" s="1">
        <v>2</v>
      </c>
      <c r="I5" s="1">
        <v>1</v>
      </c>
      <c r="J5" s="3">
        <v>43861</v>
      </c>
      <c r="K5" s="3">
        <v>46022</v>
      </c>
      <c r="L5" s="1">
        <v>26312.631000000001</v>
      </c>
      <c r="M5" s="1">
        <v>25818.93</v>
      </c>
      <c r="N5" s="1">
        <v>-1.8762889959578762E-2</v>
      </c>
      <c r="O5" s="1" t="s">
        <v>19</v>
      </c>
      <c r="P5" s="1" t="s">
        <v>23</v>
      </c>
    </row>
    <row r="6" spans="1:16" x14ac:dyDescent="0.15">
      <c r="A6">
        <v>100000</v>
      </c>
      <c r="B6" s="1">
        <v>84723.015396700212</v>
      </c>
      <c r="C6" s="1">
        <v>100000</v>
      </c>
      <c r="D6" s="1">
        <v>84723.015396700212</v>
      </c>
      <c r="E6" s="1">
        <v>0</v>
      </c>
      <c r="F6" s="1">
        <v>-0.1527698460329979</v>
      </c>
      <c r="G6" s="1">
        <v>-3.0585517827101168E-2</v>
      </c>
      <c r="H6" s="1">
        <v>2</v>
      </c>
      <c r="I6" s="1">
        <v>0</v>
      </c>
      <c r="J6" s="3">
        <v>44074</v>
      </c>
      <c r="K6" s="3">
        <v>46022</v>
      </c>
      <c r="L6" s="1">
        <v>7543.86</v>
      </c>
      <c r="M6" s="1">
        <v>5499.3</v>
      </c>
      <c r="N6" s="1">
        <v>-0.27102305716171821</v>
      </c>
      <c r="O6" s="1" t="s">
        <v>19</v>
      </c>
      <c r="P6" s="1" t="s">
        <v>24</v>
      </c>
    </row>
    <row r="7" spans="1:16" x14ac:dyDescent="0.15">
      <c r="A7">
        <v>100000</v>
      </c>
      <c r="B7" s="1">
        <v>112341.4325962978</v>
      </c>
      <c r="C7" s="1">
        <v>112341.4325962978</v>
      </c>
      <c r="D7" s="1">
        <v>90080.321391678561</v>
      </c>
      <c r="E7" s="1">
        <v>0.66666666666666663</v>
      </c>
      <c r="F7" s="1">
        <v>0.1234143259629783</v>
      </c>
      <c r="G7" s="1">
        <v>1.9850151904717391E-2</v>
      </c>
      <c r="H7" s="1">
        <v>3</v>
      </c>
      <c r="I7" s="1">
        <v>2</v>
      </c>
      <c r="J7" s="3">
        <v>43861</v>
      </c>
      <c r="K7" s="3">
        <v>46022</v>
      </c>
      <c r="L7" s="1">
        <v>3225.52</v>
      </c>
      <c r="M7" s="1">
        <v>6929.9399000000003</v>
      </c>
      <c r="N7" s="1">
        <v>1.148472153327216</v>
      </c>
      <c r="O7" s="1" t="s">
        <v>19</v>
      </c>
      <c r="P7" s="1" t="s">
        <v>25</v>
      </c>
    </row>
    <row r="8" spans="1:16" x14ac:dyDescent="0.15">
      <c r="A8">
        <v>100000</v>
      </c>
      <c r="B8" s="1">
        <v>122362.3868237487</v>
      </c>
      <c r="C8" s="1">
        <v>122362.3868237487</v>
      </c>
      <c r="D8" s="1">
        <v>100000</v>
      </c>
      <c r="E8" s="1">
        <v>0.66666666666666663</v>
      </c>
      <c r="F8" s="1">
        <v>0.22362386823748739</v>
      </c>
      <c r="G8" s="1">
        <v>3.4675165081470498E-2</v>
      </c>
      <c r="H8" s="1">
        <v>3</v>
      </c>
      <c r="I8" s="1">
        <v>2</v>
      </c>
      <c r="J8" s="3">
        <v>43861</v>
      </c>
      <c r="K8" s="3">
        <v>46022</v>
      </c>
      <c r="L8" s="1">
        <v>10681.904</v>
      </c>
      <c r="M8" s="1">
        <v>13537.097</v>
      </c>
      <c r="N8" s="1">
        <v>0.26729251639033641</v>
      </c>
      <c r="O8" s="1" t="s">
        <v>19</v>
      </c>
      <c r="P8" s="1" t="s">
        <v>26</v>
      </c>
    </row>
    <row r="9" spans="1:16" x14ac:dyDescent="0.15">
      <c r="A9">
        <v>100000</v>
      </c>
      <c r="B9" s="1">
        <v>131413.43411272531</v>
      </c>
      <c r="C9" s="1">
        <v>131413.43411272531</v>
      </c>
      <c r="D9" s="1">
        <v>100000</v>
      </c>
      <c r="E9" s="1">
        <v>1</v>
      </c>
      <c r="F9" s="1">
        <v>0.31413434112725352</v>
      </c>
      <c r="G9" s="1">
        <v>4.7221731701571963E-2</v>
      </c>
      <c r="H9" s="1">
        <v>2</v>
      </c>
      <c r="I9" s="1">
        <v>2</v>
      </c>
      <c r="J9" s="3">
        <v>43861</v>
      </c>
      <c r="K9" s="3">
        <v>46022</v>
      </c>
      <c r="L9" s="1">
        <v>1202.1020000000001</v>
      </c>
      <c r="M9" s="1">
        <v>1346.319</v>
      </c>
      <c r="N9" s="1">
        <v>0.1199706846839951</v>
      </c>
      <c r="O9" s="1" t="s">
        <v>19</v>
      </c>
      <c r="P9" s="1" t="s">
        <v>27</v>
      </c>
    </row>
    <row r="10" spans="1:16" x14ac:dyDescent="0.15">
      <c r="A10">
        <v>100000</v>
      </c>
      <c r="B10" s="1">
        <v>115377.08436291839</v>
      </c>
      <c r="C10" s="1">
        <v>115377.08436291839</v>
      </c>
      <c r="D10" s="1">
        <v>93217.619290467541</v>
      </c>
      <c r="E10" s="1">
        <v>0.66666666666666663</v>
      </c>
      <c r="F10" s="1">
        <v>0.153770843629184</v>
      </c>
      <c r="G10" s="1">
        <v>2.4453375523400659E-2</v>
      </c>
      <c r="H10" s="1">
        <v>3</v>
      </c>
      <c r="I10" s="1">
        <v>2</v>
      </c>
      <c r="J10" s="3">
        <v>43861</v>
      </c>
      <c r="K10" s="3">
        <v>46022</v>
      </c>
      <c r="L10" s="1">
        <v>9150.9403999999995</v>
      </c>
      <c r="M10" s="1">
        <v>23593.095700000002</v>
      </c>
      <c r="N10" s="1">
        <v>1.57821542581569</v>
      </c>
      <c r="O10" s="1" t="s">
        <v>19</v>
      </c>
      <c r="P10" s="1" t="s">
        <v>28</v>
      </c>
    </row>
    <row r="11" spans="1:16" x14ac:dyDescent="0.15">
      <c r="A11">
        <v>100000</v>
      </c>
      <c r="B11" s="1">
        <v>96223.215255804054</v>
      </c>
      <c r="C11" s="1">
        <v>100000</v>
      </c>
      <c r="D11" s="1">
        <v>81022.423917628737</v>
      </c>
      <c r="E11" s="1">
        <v>0.33333333333333331</v>
      </c>
      <c r="F11" s="1">
        <v>-3.776784744195949E-2</v>
      </c>
      <c r="G11" s="1">
        <v>-6.4816010991183282E-3</v>
      </c>
      <c r="H11" s="1">
        <v>3</v>
      </c>
      <c r="I11" s="1">
        <v>1</v>
      </c>
      <c r="J11" s="3">
        <v>43861</v>
      </c>
      <c r="K11" s="3">
        <v>46022</v>
      </c>
      <c r="L11" s="1">
        <v>28256.029299999998</v>
      </c>
      <c r="M11" s="1">
        <v>48710.968800000002</v>
      </c>
      <c r="N11" s="1">
        <v>0.72391415236818168</v>
      </c>
      <c r="O11" s="1" t="s">
        <v>19</v>
      </c>
      <c r="P11" s="1" t="s">
        <v>29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6"/>
  <sheetViews>
    <sheetView workbookViewId="0"/>
  </sheetViews>
  <sheetFormatPr defaultRowHeight="13.5" x14ac:dyDescent="0.15"/>
  <cols>
    <col min="2" max="23" width="12.75" style="1" customWidth="1"/>
  </cols>
  <sheetData>
    <row r="1" spans="1:22" x14ac:dyDescent="0.15">
      <c r="A1" s="2" t="s">
        <v>14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  <c r="O1" s="2" t="s">
        <v>43</v>
      </c>
      <c r="P1" s="2" t="s">
        <v>44</v>
      </c>
      <c r="Q1" s="2" t="s">
        <v>45</v>
      </c>
      <c r="R1" s="2" t="s">
        <v>46</v>
      </c>
      <c r="S1" s="2" t="s">
        <v>47</v>
      </c>
      <c r="T1" s="2" t="s">
        <v>48</v>
      </c>
      <c r="U1" s="2" t="s">
        <v>49</v>
      </c>
      <c r="V1" s="2" t="s">
        <v>50</v>
      </c>
    </row>
    <row r="2" spans="1:22" x14ac:dyDescent="0.15">
      <c r="A2" t="s">
        <v>16</v>
      </c>
      <c r="B2" s="1">
        <v>10</v>
      </c>
      <c r="C2" s="1">
        <v>219</v>
      </c>
      <c r="D2" s="1">
        <v>117</v>
      </c>
      <c r="E2" s="1">
        <v>0.59230720675577508</v>
      </c>
      <c r="F2" s="1">
        <v>0.17863799863140351</v>
      </c>
      <c r="G2" s="1">
        <v>0.16968247196891359</v>
      </c>
      <c r="H2" s="1">
        <v>0.58949160715929882</v>
      </c>
      <c r="I2" s="1">
        <v>-4.9835003231750052E-2</v>
      </c>
      <c r="J2" s="1">
        <v>2</v>
      </c>
      <c r="K2" s="1">
        <v>0.2316692283401621</v>
      </c>
      <c r="L2" s="1">
        <v>-3.3486920203631032E-2</v>
      </c>
      <c r="M2" s="1">
        <v>0.17485027215442761</v>
      </c>
      <c r="N2" s="1">
        <v>0.53575046010397043</v>
      </c>
      <c r="O2" s="1">
        <v>-5.0677877721287963E-2</v>
      </c>
      <c r="P2" s="1">
        <v>7</v>
      </c>
      <c r="Q2" s="1">
        <v>3</v>
      </c>
      <c r="R2" s="1">
        <v>3.787726476975842E-3</v>
      </c>
      <c r="S2" s="1">
        <v>0.14970470710886161</v>
      </c>
      <c r="T2" s="1">
        <v>-0.20179218328360141</v>
      </c>
      <c r="U2" s="1">
        <v>7</v>
      </c>
      <c r="V2" s="1">
        <v>3</v>
      </c>
    </row>
    <row r="3" spans="1:22" x14ac:dyDescent="0.15">
      <c r="A3" t="s">
        <v>17</v>
      </c>
      <c r="B3" s="1">
        <v>10</v>
      </c>
      <c r="C3" s="1">
        <v>233</v>
      </c>
      <c r="D3" s="1">
        <v>106</v>
      </c>
      <c r="E3" s="1">
        <v>0.4548444843215641</v>
      </c>
      <c r="F3" s="1">
        <v>0.35776613079653691</v>
      </c>
      <c r="G3" s="1">
        <v>5.1194954215865451E-2</v>
      </c>
      <c r="H3" s="1">
        <v>1.0403688640196991</v>
      </c>
      <c r="I3" s="1">
        <v>-0.16982132711955661</v>
      </c>
      <c r="J3" s="1">
        <v>2</v>
      </c>
      <c r="K3" s="1">
        <v>0.47577048314409809</v>
      </c>
      <c r="L3" s="1">
        <v>-0.1142512785937085</v>
      </c>
      <c r="M3" s="1">
        <v>0.51397202335619108</v>
      </c>
      <c r="N3" s="1">
        <v>1.594874794966898</v>
      </c>
      <c r="O3" s="1">
        <v>-0.22271707681804881</v>
      </c>
      <c r="P3" s="1">
        <v>8</v>
      </c>
      <c r="Q3" s="1">
        <v>2</v>
      </c>
      <c r="R3" s="1">
        <v>-0.15620589255965431</v>
      </c>
      <c r="S3" s="1">
        <v>0.30099433754502009</v>
      </c>
      <c r="T3" s="1">
        <v>-0.7646195332467689</v>
      </c>
      <c r="U3" s="1">
        <v>4</v>
      </c>
      <c r="V3" s="1">
        <v>6</v>
      </c>
    </row>
    <row r="4" spans="1:22" x14ac:dyDescent="0.15">
      <c r="A4" t="s">
        <v>18</v>
      </c>
      <c r="B4" s="1">
        <v>10</v>
      </c>
      <c r="C4" s="1">
        <v>37</v>
      </c>
      <c r="D4" s="1">
        <v>16</v>
      </c>
      <c r="E4" s="1">
        <v>0.40333333333333332</v>
      </c>
      <c r="F4" s="1">
        <v>-0.41669941552007628</v>
      </c>
      <c r="G4" s="1">
        <v>-0.4871767174946392</v>
      </c>
      <c r="H4" s="1">
        <v>0.36897233734735568</v>
      </c>
      <c r="I4" s="1">
        <v>-1</v>
      </c>
      <c r="J4" s="1">
        <v>6</v>
      </c>
      <c r="K4" s="1">
        <v>0.22475159508756559</v>
      </c>
      <c r="L4" s="1">
        <v>-0.84433342259183763</v>
      </c>
      <c r="M4" s="1">
        <v>0.48492590167155569</v>
      </c>
      <c r="N4" s="1">
        <v>1.570373082479825</v>
      </c>
      <c r="O4" s="1">
        <v>-0.23289165517020111</v>
      </c>
      <c r="P4" s="1">
        <v>8</v>
      </c>
      <c r="Q4" s="1">
        <v>2</v>
      </c>
      <c r="R4" s="1">
        <v>-0.90162531719163197</v>
      </c>
      <c r="S4" s="1">
        <v>0.37893259423440462</v>
      </c>
      <c r="T4" s="1">
        <v>-1.7035428112891859</v>
      </c>
      <c r="U4" s="1">
        <v>2</v>
      </c>
      <c r="V4" s="1">
        <v>8</v>
      </c>
    </row>
    <row r="5" spans="1:22" x14ac:dyDescent="0.15">
      <c r="A5" t="s">
        <v>19</v>
      </c>
      <c r="B5" s="1">
        <v>10</v>
      </c>
      <c r="C5" s="1">
        <v>27</v>
      </c>
      <c r="D5" s="1">
        <v>13</v>
      </c>
      <c r="E5" s="1">
        <v>0.48333333333333328</v>
      </c>
      <c r="F5" s="1">
        <v>4.9190181781183631E-2</v>
      </c>
      <c r="G5" s="1">
        <v>-2.0116918456872799E-4</v>
      </c>
      <c r="H5" s="1">
        <v>0.31413434112725352</v>
      </c>
      <c r="I5" s="1">
        <v>-0.38646945208881639</v>
      </c>
      <c r="J5" s="1">
        <v>4</v>
      </c>
      <c r="K5" s="1">
        <v>0.19571403543416799</v>
      </c>
      <c r="L5" s="1">
        <v>-0.17059559869829291</v>
      </c>
      <c r="M5" s="1">
        <v>0.48829166099205051</v>
      </c>
      <c r="N5" s="1">
        <v>1.57821542581569</v>
      </c>
      <c r="O5" s="1">
        <v>-0.27102305716171821</v>
      </c>
      <c r="P5" s="1">
        <v>8</v>
      </c>
      <c r="Q5" s="1">
        <v>2</v>
      </c>
      <c r="R5" s="1">
        <v>-0.43910147921086679</v>
      </c>
      <c r="S5" s="1">
        <v>0.19416365644325839</v>
      </c>
      <c r="T5" s="1">
        <v>-1.4244445821865059</v>
      </c>
      <c r="U5" s="1">
        <v>3</v>
      </c>
      <c r="V5" s="1">
        <v>7</v>
      </c>
    </row>
    <row r="6" spans="1:22" x14ac:dyDescent="0.15">
      <c r="A6" t="s">
        <v>51</v>
      </c>
      <c r="B6" s="1">
        <v>10</v>
      </c>
      <c r="C6" s="1">
        <v>516</v>
      </c>
      <c r="D6" s="1">
        <v>252</v>
      </c>
      <c r="E6" s="1">
        <v>0.4834545894360015</v>
      </c>
      <c r="F6" s="1">
        <v>4.2223723922261917E-2</v>
      </c>
      <c r="G6" s="1">
        <v>-6.6625115123607193E-2</v>
      </c>
      <c r="H6" s="1">
        <v>1.0403688640196991</v>
      </c>
      <c r="I6" s="1">
        <v>-1</v>
      </c>
      <c r="J6" s="1">
        <v>14</v>
      </c>
      <c r="K6" s="1">
        <v>0.29741570326266742</v>
      </c>
      <c r="L6" s="1">
        <v>-0.43170423770991978</v>
      </c>
      <c r="M6" s="1">
        <v>0.41550996454355621</v>
      </c>
      <c r="N6" s="1">
        <v>1.594874794966898</v>
      </c>
      <c r="O6" s="1">
        <v>-0.27102305716171821</v>
      </c>
      <c r="P6" s="1">
        <v>31</v>
      </c>
      <c r="Q6" s="1">
        <v>9</v>
      </c>
      <c r="R6" s="1">
        <v>-0.37328624062129429</v>
      </c>
      <c r="S6" s="1">
        <v>0.37893259423440462</v>
      </c>
      <c r="T6" s="1">
        <v>-1.7035428112891859</v>
      </c>
      <c r="U6" s="1">
        <v>16</v>
      </c>
      <c r="V6" s="1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详细数据</vt:lpstr>
      <vt:lpstr>小时线统计</vt:lpstr>
      <vt:lpstr>日线统计</vt:lpstr>
      <vt:lpstr>周线统计</vt:lpstr>
      <vt:lpstr>月线统计</vt:lpstr>
      <vt:lpstr>整体统计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也 雷</cp:lastModifiedBy>
  <dcterms:created xsi:type="dcterms:W3CDTF">2025-12-29T11:31:40Z</dcterms:created>
  <dcterms:modified xsi:type="dcterms:W3CDTF">2025-12-29T11:37:49Z</dcterms:modified>
</cp:coreProperties>
</file>